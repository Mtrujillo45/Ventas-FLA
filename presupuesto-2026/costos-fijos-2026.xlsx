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mensual" sheetId="1" state="visible" r:id="rId1"/>
    <sheet name="Detalle Gastos Personal" sheetId="2" state="visible" r:id="rId2"/>
    <sheet name="Detalle Gastos Administrativos" sheetId="3" state="visible" r:id="rId3"/>
    <sheet name="Notas y advertenci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666666"/>
      <sz val="9"/>
    </font>
    <font>
      <name val="Arial"/>
      <color rgb="00C0000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164" fontId="0" fillId="3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Categoría</t>
        </is>
      </c>
      <c r="B1" s="1" t="inlineStr">
        <is>
          <t>Enero</t>
        </is>
      </c>
      <c r="C1" s="1" t="inlineStr">
        <is>
          <t>Febrero</t>
        </is>
      </c>
      <c r="D1" s="1" t="inlineStr">
        <is>
          <t>Marzo</t>
        </is>
      </c>
      <c r="E1" s="1" t="inlineStr">
        <is>
          <t>Abril</t>
        </is>
      </c>
      <c r="F1" s="1" t="inlineStr">
        <is>
          <t>Mayo</t>
        </is>
      </c>
      <c r="G1" s="1" t="inlineStr">
        <is>
          <t>Junio</t>
        </is>
      </c>
      <c r="H1" s="1" t="inlineStr">
        <is>
          <t>Julio</t>
        </is>
      </c>
      <c r="I1" s="1" t="inlineStr">
        <is>
          <t>Agosto</t>
        </is>
      </c>
      <c r="J1" s="1" t="inlineStr">
        <is>
          <t>Total 8 meses</t>
        </is>
      </c>
      <c r="K1" s="1" t="inlineStr">
        <is>
          <t>Promedio mensual</t>
        </is>
      </c>
    </row>
    <row r="2">
      <c r="A2" s="2" t="inlineStr">
        <is>
          <t>Gastos Personal (nómina, honorarios, seguridad)</t>
        </is>
      </c>
      <c r="B2" s="3" t="n">
        <v>23175498</v>
      </c>
      <c r="C2" s="3" t="n">
        <v>37140797</v>
      </c>
      <c r="D2" s="3" t="n">
        <v>25049346</v>
      </c>
      <c r="E2" s="3" t="n">
        <v>24341183</v>
      </c>
      <c r="F2" s="3" t="n">
        <v>29322359</v>
      </c>
      <c r="G2" s="3" t="n">
        <v>41585035</v>
      </c>
      <c r="H2" s="3" t="n">
        <v>34014533</v>
      </c>
      <c r="I2" s="3" t="n">
        <v>25411877</v>
      </c>
      <c r="J2" s="3">
        <f>SUM(B2:I2)</f>
        <v/>
      </c>
      <c r="K2" s="3">
        <f>J2/8</f>
        <v/>
      </c>
    </row>
    <row r="4">
      <c r="A4" s="2" t="inlineStr">
        <is>
          <t>Gastos Administrativos (arriendos, impuestos, seguros, tarjetas, etc.)</t>
        </is>
      </c>
      <c r="B4" s="3" t="n">
        <v>21662037.0834</v>
      </c>
      <c r="C4" s="3" t="n">
        <v>14485238</v>
      </c>
      <c r="D4" s="3" t="n">
        <v>28635762.04</v>
      </c>
      <c r="E4" s="3" t="n">
        <v>24007259.64</v>
      </c>
      <c r="F4" s="3" t="n">
        <v>70625931.33</v>
      </c>
      <c r="G4" s="3" t="n">
        <v>67314671.09</v>
      </c>
      <c r="H4" s="3" t="n">
        <v>184284440.04</v>
      </c>
      <c r="I4" s="3" t="n">
        <v>21722540</v>
      </c>
      <c r="J4" s="3">
        <f>SUM(B4:I4)</f>
        <v/>
      </c>
      <c r="K4" s="3">
        <f>J4/8</f>
        <v/>
      </c>
    </row>
    <row r="6">
      <c r="A6" s="4" t="inlineStr">
        <is>
          <t>Préstamos -- financiación, no es costo operativo</t>
        </is>
      </c>
      <c r="B6" s="5" t="n">
        <v>14020049</v>
      </c>
      <c r="C6" s="5" t="n">
        <v>15062298</v>
      </c>
      <c r="D6" s="5" t="n">
        <v>15775942</v>
      </c>
      <c r="E6" s="5" t="n">
        <v>9087094.5</v>
      </c>
      <c r="F6" s="5" t="n">
        <v>62675895</v>
      </c>
      <c r="G6" s="5" t="n">
        <v>54593296.5</v>
      </c>
      <c r="H6" s="5" t="n">
        <v>6865785</v>
      </c>
      <c r="I6" s="5" t="n">
        <v>6865785</v>
      </c>
      <c r="J6" s="5">
        <f>SUM(B6:I6)</f>
        <v/>
      </c>
      <c r="K6" s="5">
        <f>J6/8</f>
        <v/>
      </c>
    </row>
    <row r="8">
      <c r="A8" s="4" t="inlineStr">
        <is>
          <t>Mercadeo y Ventas (logística, pauta, envíos, contenido) -- NO es costo fijo, es variable/comercial</t>
        </is>
      </c>
      <c r="B8" s="5" t="n">
        <v>31048140.31</v>
      </c>
      <c r="C8" s="5" t="n">
        <v>33242634.51</v>
      </c>
      <c r="D8" s="5" t="n">
        <v>29820280.78</v>
      </c>
      <c r="E8" s="5" t="n">
        <v>32610437</v>
      </c>
      <c r="F8" s="5" t="n">
        <v>77953801.97</v>
      </c>
      <c r="G8" s="5" t="n">
        <v>158725794.62</v>
      </c>
      <c r="H8" s="5" t="n">
        <v>152551534.423</v>
      </c>
      <c r="I8" s="5" t="n">
        <v>122321947</v>
      </c>
      <c r="J8" s="5">
        <f>SUM(B8:I8)</f>
        <v/>
      </c>
      <c r="K8" s="5">
        <f>J8/8</f>
        <v/>
      </c>
    </row>
    <row r="10">
      <c r="A10" s="4" t="inlineStr">
        <is>
          <t>Producción (telas/insumos) -- YA está en el costo directo por SKU, no duplicar</t>
        </is>
      </c>
      <c r="B10" s="5" t="n">
        <v>43498531.23029999</v>
      </c>
      <c r="C10" s="5" t="n">
        <v>91687644.73360002</v>
      </c>
      <c r="D10" s="5" t="n">
        <v>52910741.79040001</v>
      </c>
      <c r="E10" s="5" t="n">
        <v>156216017.5164</v>
      </c>
      <c r="F10" s="5" t="n">
        <v>273064117.3700001</v>
      </c>
      <c r="G10" s="5" t="n">
        <v>327393334.5678999</v>
      </c>
      <c r="H10" s="5" t="n">
        <v>274311724.7447</v>
      </c>
      <c r="I10" s="5" t="n">
        <v>192718276.6222</v>
      </c>
      <c r="J10" s="5">
        <f>SUM(B10:I10)</f>
        <v/>
      </c>
      <c r="K10" s="5">
        <f>J10/8</f>
        <v/>
      </c>
    </row>
    <row r="13" ht="60" customHeight="1">
      <c r="A13" s="6" t="inlineStr">
        <is>
          <t>Fuente: CONTROL DE PAGOS 2026.xlsx (Google Drive, compartido por Natalia). Solo cubre Enero-Agosto 2026 (8 meses); no hay dato de 2025. Monto = columna 'VALOR DE FACTURA' de cada partida dentro de su sección. Candidatas a 'costos fijos de la empresa' para el punto de equilibrio: Gastos Personal + Gastos Administrativos (resaltado). Mercadeo y Ventas y Producción se muestran solo de referencia -- no sumarlos como costo fijo (ver pestaña Notas).</t>
        </is>
      </c>
    </row>
  </sheetData>
  <mergeCells count="1">
    <mergeCell ref="A13:K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0" customWidth="1" min="4" max="4"/>
    <col width="26" customWidth="1" min="5" max="5"/>
  </cols>
  <sheetData>
    <row r="1">
      <c r="A1" s="1" t="inlineStr">
        <is>
          <t>Proveedor / Concepto</t>
        </is>
      </c>
      <c r="B1" s="1" t="inlineStr">
        <is>
          <t>Meses presentes (de 8)</t>
        </is>
      </c>
      <c r="C1" s="1" t="inlineStr">
        <is>
          <t>Total 8 meses</t>
        </is>
      </c>
      <c r="D1" s="1" t="inlineStr">
        <is>
          <t>Promedio (cuando aparece)</t>
        </is>
      </c>
      <c r="E1" s="1" t="inlineStr">
        <is>
          <t>Patrón sugerido (revisar con Natalia)</t>
        </is>
      </c>
    </row>
    <row r="2">
      <c r="A2" s="4" t="inlineStr">
        <is>
          <t>NOMINA</t>
        </is>
      </c>
      <c r="B2" s="4" t="n">
        <v>8</v>
      </c>
      <c r="C2" s="5" t="n">
        <v>127799996</v>
      </c>
      <c r="D2" s="5" t="n">
        <v>15974999.5</v>
      </c>
      <c r="E2" s="4" t="inlineStr">
        <is>
          <t>Recurrente (posible fijo)</t>
        </is>
      </c>
    </row>
    <row r="3">
      <c r="A3" s="4" t="inlineStr">
        <is>
          <t>ARUS</t>
        </is>
      </c>
      <c r="B3" s="4" t="n">
        <v>8</v>
      </c>
      <c r="C3" s="5" t="n">
        <v>29057600</v>
      </c>
      <c r="D3" s="5" t="n">
        <v>3632200</v>
      </c>
      <c r="E3" s="4" t="inlineStr">
        <is>
          <t>Recurrente (posible fijo)</t>
        </is>
      </c>
    </row>
    <row r="4">
      <c r="A4" s="4" t="inlineStr">
        <is>
          <t>MAURICIO TRUJILLO</t>
        </is>
      </c>
      <c r="B4" s="4" t="n">
        <v>4</v>
      </c>
      <c r="C4" s="5" t="n">
        <v>18860000</v>
      </c>
      <c r="D4" s="5" t="n">
        <v>4715000</v>
      </c>
      <c r="E4" s="7" t="inlineStr">
        <is>
          <t>Parcial -- revisar</t>
        </is>
      </c>
    </row>
    <row r="5">
      <c r="A5" s="4" t="inlineStr">
        <is>
          <t>CESANTIAS</t>
        </is>
      </c>
      <c r="B5" s="4" t="n">
        <v>2</v>
      </c>
      <c r="C5" s="5" t="n">
        <v>18547733</v>
      </c>
      <c r="D5" s="5" t="n">
        <v>9273866.5</v>
      </c>
      <c r="E5" s="7" t="inlineStr">
        <is>
          <t>Esporádico / único</t>
        </is>
      </c>
    </row>
    <row r="6">
      <c r="A6" s="4" t="inlineStr">
        <is>
          <t>NOMINA Y PRIMA</t>
        </is>
      </c>
      <c r="B6" s="4" t="n">
        <v>1</v>
      </c>
      <c r="C6" s="5" t="n">
        <v>16384634</v>
      </c>
      <c r="D6" s="5" t="n">
        <v>16384634</v>
      </c>
      <c r="E6" s="7" t="inlineStr">
        <is>
          <t>Esporádico / único</t>
        </is>
      </c>
    </row>
    <row r="7">
      <c r="A7" s="4" t="inlineStr">
        <is>
          <t>LIQUIDACION</t>
        </is>
      </c>
      <c r="B7" s="4" t="n">
        <v>2</v>
      </c>
      <c r="C7" s="5" t="n">
        <v>7258044</v>
      </c>
      <c r="D7" s="5" t="n">
        <v>3629022</v>
      </c>
      <c r="E7" s="7" t="inlineStr">
        <is>
          <t>Esporádico / único</t>
        </is>
      </c>
    </row>
    <row r="8">
      <c r="A8" s="4" t="inlineStr">
        <is>
          <t>LUISA PIMIENTO</t>
        </is>
      </c>
      <c r="B8" s="4" t="n">
        <v>1</v>
      </c>
      <c r="C8" s="5" t="n">
        <v>5305652</v>
      </c>
      <c r="D8" s="5" t="n">
        <v>5305652</v>
      </c>
      <c r="E8" s="7" t="inlineStr">
        <is>
          <t>Esporádico / único</t>
        </is>
      </c>
    </row>
    <row r="9">
      <c r="A9" s="4" t="inlineStr">
        <is>
          <t>GREISY MEDINA</t>
        </is>
      </c>
      <c r="B9" s="4" t="n">
        <v>1</v>
      </c>
      <c r="C9" s="5" t="n">
        <v>3233719</v>
      </c>
      <c r="D9" s="5" t="n">
        <v>3233719</v>
      </c>
      <c r="E9" s="7" t="inlineStr">
        <is>
          <t>Esporádico / único</t>
        </is>
      </c>
    </row>
    <row r="10">
      <c r="A10" s="4" t="inlineStr">
        <is>
          <t>ANA MARIA CASTAÑO</t>
        </is>
      </c>
      <c r="B10" s="4" t="n">
        <v>1</v>
      </c>
      <c r="C10" s="5" t="n">
        <v>3183650</v>
      </c>
      <c r="D10" s="5" t="n">
        <v>3183650</v>
      </c>
      <c r="E10" s="7" t="inlineStr">
        <is>
          <t>Esporádico / único</t>
        </is>
      </c>
    </row>
    <row r="11">
      <c r="A11" s="4" t="inlineStr">
        <is>
          <t>ANA AGUIRRE</t>
        </is>
      </c>
      <c r="B11" s="4" t="n">
        <v>2</v>
      </c>
      <c r="C11" s="5" t="n">
        <v>2140000</v>
      </c>
      <c r="D11" s="5" t="n">
        <v>1070000</v>
      </c>
      <c r="E11" s="7" t="inlineStr">
        <is>
          <t>Esporádico / único</t>
        </is>
      </c>
    </row>
    <row r="12">
      <c r="A12" s="4" t="inlineStr">
        <is>
          <t>NATALIA MARTINEZ</t>
        </is>
      </c>
      <c r="B12" s="4" t="n">
        <v>1</v>
      </c>
      <c r="C12" s="5" t="n">
        <v>2000000</v>
      </c>
      <c r="D12" s="5" t="n">
        <v>2000000</v>
      </c>
      <c r="E12" s="7" t="inlineStr">
        <is>
          <t>Esporádico / único</t>
        </is>
      </c>
    </row>
    <row r="13">
      <c r="A13" s="4" t="inlineStr">
        <is>
          <t>ANA ISABEL AGUIRRE</t>
        </is>
      </c>
      <c r="B13" s="4" t="n">
        <v>2</v>
      </c>
      <c r="C13" s="5" t="n">
        <v>2000000</v>
      </c>
      <c r="D13" s="5" t="n">
        <v>1000000</v>
      </c>
      <c r="E13" s="7" t="inlineStr">
        <is>
          <t>Esporádico / único</t>
        </is>
      </c>
    </row>
    <row r="14">
      <c r="A14" s="4" t="inlineStr">
        <is>
          <t>VACACIONES</t>
        </is>
      </c>
      <c r="B14" s="4" t="n">
        <v>1</v>
      </c>
      <c r="C14" s="5" t="n">
        <v>1545600</v>
      </c>
      <c r="D14" s="5" t="n">
        <v>1545600</v>
      </c>
      <c r="E14" s="7" t="inlineStr">
        <is>
          <t>Esporádico / único</t>
        </is>
      </c>
    </row>
    <row r="15">
      <c r="A15" s="4" t="inlineStr">
        <is>
          <t>MARIANA CASTAÑO</t>
        </is>
      </c>
      <c r="B15" s="4" t="n">
        <v>1</v>
      </c>
      <c r="C15" s="5" t="n">
        <v>800000</v>
      </c>
      <c r="D15" s="5" t="n">
        <v>800000</v>
      </c>
      <c r="E15" s="7" t="inlineStr">
        <is>
          <t>Esporádico / único</t>
        </is>
      </c>
    </row>
    <row r="16">
      <c r="A16" s="4" t="inlineStr">
        <is>
          <t>ANA CASTAÑO</t>
        </is>
      </c>
      <c r="B16" s="4" t="n">
        <v>1</v>
      </c>
      <c r="C16" s="5" t="n">
        <v>560000</v>
      </c>
      <c r="D16" s="5" t="n">
        <v>560000</v>
      </c>
      <c r="E16" s="7" t="inlineStr">
        <is>
          <t>Esporádico / único</t>
        </is>
      </c>
    </row>
    <row r="17">
      <c r="A17" s="4" t="inlineStr">
        <is>
          <t>JONATHAN GUISAO</t>
        </is>
      </c>
      <c r="B17" s="4" t="n">
        <v>1</v>
      </c>
      <c r="C17" s="5" t="n">
        <v>480000</v>
      </c>
      <c r="D17" s="5" t="n">
        <v>480000</v>
      </c>
      <c r="E17" s="7" t="inlineStr">
        <is>
          <t>Esporádico / único</t>
        </is>
      </c>
    </row>
    <row r="18">
      <c r="A18" s="4" t="inlineStr">
        <is>
          <t>MARIANA CARDONA</t>
        </is>
      </c>
      <c r="B18" s="4" t="n">
        <v>1</v>
      </c>
      <c r="C18" s="5" t="n">
        <v>400000</v>
      </c>
      <c r="D18" s="5" t="n">
        <v>400000</v>
      </c>
      <c r="E18" s="7" t="inlineStr">
        <is>
          <t>Esporádico / único</t>
        </is>
      </c>
    </row>
    <row r="19">
      <c r="A19" s="4" t="inlineStr">
        <is>
          <t>JESSICA MENDOZA</t>
        </is>
      </c>
      <c r="B19" s="4" t="n">
        <v>1</v>
      </c>
      <c r="C19" s="5" t="n">
        <v>184000</v>
      </c>
      <c r="D19" s="5" t="n">
        <v>184000</v>
      </c>
      <c r="E19" s="7" t="inlineStr">
        <is>
          <t>Esporádico / único</t>
        </is>
      </c>
    </row>
    <row r="20">
      <c r="A20" s="4" t="inlineStr">
        <is>
          <t>HAYBER CARO</t>
        </is>
      </c>
      <c r="B20" s="4" t="n">
        <v>1</v>
      </c>
      <c r="C20" s="5" t="n">
        <v>180000</v>
      </c>
      <c r="D20" s="5" t="n">
        <v>180000</v>
      </c>
      <c r="E20" s="7" t="inlineStr">
        <is>
          <t>Esporádico / único</t>
        </is>
      </c>
    </row>
    <row r="21">
      <c r="A21" s="4" t="inlineStr">
        <is>
          <t>WORLD OFFICE</t>
        </is>
      </c>
      <c r="B21" s="4" t="n">
        <v>1</v>
      </c>
      <c r="C21" s="5" t="n">
        <v>120000</v>
      </c>
      <c r="D21" s="5" t="n">
        <v>120000</v>
      </c>
      <c r="E21" s="7" t="inlineStr">
        <is>
          <t>Esporádico / único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0" customWidth="1" min="4" max="4"/>
    <col width="26" customWidth="1" min="5" max="5"/>
  </cols>
  <sheetData>
    <row r="1">
      <c r="A1" s="1" t="inlineStr">
        <is>
          <t>Proveedor / Concepto</t>
        </is>
      </c>
      <c r="B1" s="1" t="inlineStr">
        <is>
          <t>Meses presentes (de 8)</t>
        </is>
      </c>
      <c r="C1" s="1" t="inlineStr">
        <is>
          <t>Total 8 meses</t>
        </is>
      </c>
      <c r="D1" s="1" t="inlineStr">
        <is>
          <t>Promedio (cuando aparece)</t>
        </is>
      </c>
      <c r="E1" s="1" t="inlineStr">
        <is>
          <t>Patrón sugerido (revisar con Natalia)</t>
        </is>
      </c>
    </row>
    <row r="2">
      <c r="A2" s="4" t="inlineStr">
        <is>
          <t>IVA</t>
        </is>
      </c>
      <c r="B2" s="4" t="n">
        <v>1</v>
      </c>
      <c r="C2" s="5" t="n">
        <v>142127000</v>
      </c>
      <c r="D2" s="5" t="n">
        <v>142127000</v>
      </c>
      <c r="E2" s="7" t="inlineStr">
        <is>
          <t>Esporádico / único</t>
        </is>
      </c>
    </row>
    <row r="3">
      <c r="A3" s="4" t="inlineStr">
        <is>
          <t>PADILLO</t>
        </is>
      </c>
      <c r="B3" s="4" t="n">
        <v>5</v>
      </c>
      <c r="C3" s="5" t="n">
        <v>43733340</v>
      </c>
      <c r="D3" s="5" t="n">
        <v>8746668</v>
      </c>
      <c r="E3" s="4" t="inlineStr">
        <is>
          <t>Recurrente (posible fijo)</t>
        </is>
      </c>
    </row>
    <row r="4">
      <c r="A4" s="4" t="inlineStr">
        <is>
          <t>LIA UPEGUI</t>
        </is>
      </c>
      <c r="B4" s="4" t="n">
        <v>5</v>
      </c>
      <c r="C4" s="5" t="n">
        <v>32256673.12</v>
      </c>
      <c r="D4" s="5" t="n">
        <v>6451334.624</v>
      </c>
      <c r="E4" s="4" t="inlineStr">
        <is>
          <t>Recurrente (posible fijo)</t>
        </is>
      </c>
    </row>
    <row r="5">
      <c r="A5" s="4" t="inlineStr">
        <is>
          <t>TARJETA CREDITO VISA  78878</t>
        </is>
      </c>
      <c r="B5" s="4" t="n">
        <v>5</v>
      </c>
      <c r="C5" s="5" t="n">
        <v>31745071</v>
      </c>
      <c r="D5" s="5" t="n">
        <v>6349014.2</v>
      </c>
      <c r="E5" s="4" t="inlineStr">
        <is>
          <t>Recurrente (posible fijo)</t>
        </is>
      </c>
    </row>
    <row r="6">
      <c r="A6" s="4" t="inlineStr">
        <is>
          <t>RT</t>
        </is>
      </c>
      <c r="B6" s="4" t="n">
        <v>7</v>
      </c>
      <c r="C6" s="5" t="n">
        <v>27279000</v>
      </c>
      <c r="D6" s="5" t="n">
        <v>3897000</v>
      </c>
      <c r="E6" s="4" t="inlineStr">
        <is>
          <t>Recurrente (posible fijo)</t>
        </is>
      </c>
    </row>
    <row r="7">
      <c r="A7" s="4" t="inlineStr">
        <is>
          <t>TC48225 Dolares</t>
        </is>
      </c>
      <c r="B7" s="4" t="n">
        <v>6</v>
      </c>
      <c r="C7" s="5" t="n">
        <v>23325931.1</v>
      </c>
      <c r="D7" s="5" t="n">
        <v>3887655.183333334</v>
      </c>
      <c r="E7" s="4" t="inlineStr">
        <is>
          <t>Recurrente (posible fijo)</t>
        </is>
      </c>
    </row>
    <row r="8">
      <c r="A8" s="4" t="inlineStr">
        <is>
          <t>DIAN</t>
        </is>
      </c>
      <c r="B8" s="4" t="n">
        <v>6</v>
      </c>
      <c r="C8" s="5" t="n">
        <v>22240000</v>
      </c>
      <c r="D8" s="5" t="n">
        <v>3706666.666666667</v>
      </c>
      <c r="E8" s="4" t="inlineStr">
        <is>
          <t>Recurrente (posible fijo)</t>
        </is>
      </c>
    </row>
    <row r="9">
      <c r="A9" s="4" t="inlineStr">
        <is>
          <t>ANGELA LOPERA</t>
        </is>
      </c>
      <c r="B9" s="4" t="n">
        <v>5</v>
      </c>
      <c r="C9" s="5" t="n">
        <v>18120000</v>
      </c>
      <c r="D9" s="5" t="n">
        <v>3624000</v>
      </c>
      <c r="E9" s="4" t="inlineStr">
        <is>
          <t>Recurrente (posible fijo)</t>
        </is>
      </c>
    </row>
    <row r="10">
      <c r="A10" s="4" t="inlineStr">
        <is>
          <t>ADDI</t>
        </is>
      </c>
      <c r="B10" s="4" t="n">
        <v>1</v>
      </c>
      <c r="C10" s="5" t="n">
        <v>13954698</v>
      </c>
      <c r="D10" s="5" t="n">
        <v>13954698</v>
      </c>
      <c r="E10" s="7" t="inlineStr">
        <is>
          <t>Esporádico / único</t>
        </is>
      </c>
    </row>
    <row r="11">
      <c r="A11" s="4" t="inlineStr">
        <is>
          <t>TC48225 pesos</t>
        </is>
      </c>
      <c r="B11" s="4" t="n">
        <v>6</v>
      </c>
      <c r="C11" s="5" t="n">
        <v>13701618</v>
      </c>
      <c r="D11" s="5" t="n">
        <v>2283603</v>
      </c>
      <c r="E11" s="4" t="inlineStr">
        <is>
          <t>Recurrente (posible fijo)</t>
        </is>
      </c>
    </row>
    <row r="12">
      <c r="A12" s="4" t="inlineStr">
        <is>
          <t>VERONICA</t>
        </is>
      </c>
      <c r="B12" s="4" t="n">
        <v>3</v>
      </c>
      <c r="C12" s="5" t="n">
        <v>8450000</v>
      </c>
      <c r="D12" s="5" t="n">
        <v>2816666.666666667</v>
      </c>
      <c r="E12" s="7" t="inlineStr">
        <is>
          <t>Parcial -- revisar</t>
        </is>
      </c>
    </row>
    <row r="13">
      <c r="A13" s="4" t="inlineStr">
        <is>
          <t>MERCADOPAGO</t>
        </is>
      </c>
      <c r="B13" s="4" t="n">
        <v>1</v>
      </c>
      <c r="C13" s="5" t="n">
        <v>7428811.03</v>
      </c>
      <c r="D13" s="5" t="n">
        <v>7428811.03</v>
      </c>
      <c r="E13" s="7" t="inlineStr">
        <is>
          <t>Esporádico / único</t>
        </is>
      </c>
    </row>
    <row r="14">
      <c r="A14" s="4" t="inlineStr">
        <is>
          <t>MUNICIPIO MEDELLIN</t>
        </is>
      </c>
      <c r="B14" s="4" t="n">
        <v>1</v>
      </c>
      <c r="C14" s="5" t="n">
        <v>7355239</v>
      </c>
      <c r="D14" s="5" t="n">
        <v>7355239</v>
      </c>
      <c r="E14" s="7" t="inlineStr">
        <is>
          <t>Esporádico / único</t>
        </is>
      </c>
    </row>
    <row r="15">
      <c r="A15" s="4" t="inlineStr">
        <is>
          <t>SEGUROS COMERCIAL BOLIVAR</t>
        </is>
      </c>
      <c r="B15" s="4" t="n">
        <v>4</v>
      </c>
      <c r="C15" s="5" t="n">
        <v>7330140</v>
      </c>
      <c r="D15" s="5" t="n">
        <v>1832535</v>
      </c>
      <c r="E15" s="7" t="inlineStr">
        <is>
          <t>Parcial -- revisar</t>
        </is>
      </c>
    </row>
    <row r="16">
      <c r="A16" s="4" t="inlineStr">
        <is>
          <t>FABIO MARTINEZ</t>
        </is>
      </c>
      <c r="B16" s="4" t="n">
        <v>4</v>
      </c>
      <c r="C16" s="5" t="n">
        <v>6557480</v>
      </c>
      <c r="D16" s="5" t="n">
        <v>1639370</v>
      </c>
      <c r="E16" s="7" t="inlineStr">
        <is>
          <t>Parcial -- revisar</t>
        </is>
      </c>
    </row>
    <row r="17">
      <c r="A17" s="4" t="inlineStr">
        <is>
          <t>CREDISEGUROS</t>
        </is>
      </c>
      <c r="B17" s="4" t="n">
        <v>6</v>
      </c>
      <c r="C17" s="5" t="n">
        <v>3175797</v>
      </c>
      <c r="D17" s="5" t="n">
        <v>529299.5</v>
      </c>
      <c r="E17" s="4" t="inlineStr">
        <is>
          <t>Recurrente (posible fijo)</t>
        </is>
      </c>
    </row>
    <row r="18">
      <c r="A18" s="4" t="inlineStr">
        <is>
          <t>DAVIVIENDA</t>
        </is>
      </c>
      <c r="B18" s="4" t="n">
        <v>2</v>
      </c>
      <c r="C18" s="5" t="n">
        <v>2804196</v>
      </c>
      <c r="D18" s="5" t="n">
        <v>1402098</v>
      </c>
      <c r="E18" s="7" t="inlineStr">
        <is>
          <t>Esporádico / único</t>
        </is>
      </c>
    </row>
    <row r="19">
      <c r="A19" s="4" t="inlineStr">
        <is>
          <t>RENOVACION</t>
        </is>
      </c>
      <c r="B19" s="4" t="n">
        <v>1</v>
      </c>
      <c r="C19" s="5" t="n">
        <v>2310600</v>
      </c>
      <c r="D19" s="5" t="n">
        <v>2310600</v>
      </c>
      <c r="E19" s="7" t="inlineStr">
        <is>
          <t>Esporádico / único</t>
        </is>
      </c>
    </row>
    <row r="20">
      <c r="A20" s="4" t="inlineStr">
        <is>
          <t>CARRO</t>
        </is>
      </c>
      <c r="B20" s="4" t="n">
        <v>1</v>
      </c>
      <c r="C20" s="5" t="n">
        <v>1899193</v>
      </c>
      <c r="D20" s="5" t="n">
        <v>1899193</v>
      </c>
      <c r="E20" s="7" t="inlineStr">
        <is>
          <t>Esporádico / único</t>
        </is>
      </c>
    </row>
    <row r="21">
      <c r="A21" s="4" t="inlineStr">
        <is>
          <t>EPM</t>
        </is>
      </c>
      <c r="B21" s="4" t="n">
        <v>5</v>
      </c>
      <c r="C21" s="5" t="n">
        <v>1791341</v>
      </c>
      <c r="D21" s="5" t="n">
        <v>358268.2</v>
      </c>
      <c r="E21" s="4" t="inlineStr">
        <is>
          <t>Recurrente (posible fijo)</t>
        </is>
      </c>
    </row>
    <row r="22">
      <c r="A22" s="4" t="inlineStr">
        <is>
          <t>NEXUS ESTRATEGICO</t>
        </is>
      </c>
      <c r="B22" s="4" t="n">
        <v>1</v>
      </c>
      <c r="C22" s="5" t="n">
        <v>1785000</v>
      </c>
      <c r="D22" s="5" t="n">
        <v>1785000</v>
      </c>
      <c r="E22" s="7" t="inlineStr">
        <is>
          <t>Esporádico / único</t>
        </is>
      </c>
    </row>
    <row r="23">
      <c r="A23" s="4" t="inlineStr">
        <is>
          <t>TC48225</t>
        </is>
      </c>
      <c r="B23" s="4" t="n">
        <v>1</v>
      </c>
      <c r="C23" s="5" t="n">
        <v>1201202</v>
      </c>
      <c r="D23" s="5" t="n">
        <v>1201202</v>
      </c>
      <c r="E23" s="7" t="inlineStr">
        <is>
          <t>Esporádico / único</t>
        </is>
      </c>
    </row>
    <row r="24">
      <c r="A24" s="4" t="inlineStr">
        <is>
          <t>JUANITA GOMEZ</t>
        </is>
      </c>
      <c r="B24" s="4" t="n">
        <v>3</v>
      </c>
      <c r="C24" s="5" t="n">
        <v>1200000</v>
      </c>
      <c r="D24" s="5" t="n">
        <v>400000</v>
      </c>
      <c r="E24" s="7" t="inlineStr">
        <is>
          <t>Parcial -- revisar</t>
        </is>
      </c>
    </row>
    <row r="25">
      <c r="A25" s="4" t="inlineStr">
        <is>
          <t>TC48878</t>
        </is>
      </c>
      <c r="B25" s="4" t="n">
        <v>2</v>
      </c>
      <c r="C25" s="5" t="n">
        <v>1150506</v>
      </c>
      <c r="D25" s="5" t="n">
        <v>575253</v>
      </c>
      <c r="E25" s="7" t="inlineStr">
        <is>
          <t>Esporádico / único</t>
        </is>
      </c>
    </row>
    <row r="26">
      <c r="A26" s="4" t="inlineStr">
        <is>
          <t>ISABELA</t>
        </is>
      </c>
      <c r="B26" s="4" t="n">
        <v>1</v>
      </c>
      <c r="C26" s="5" t="n">
        <v>994950</v>
      </c>
      <c r="D26" s="5" t="n">
        <v>994950</v>
      </c>
      <c r="E26" s="7" t="inlineStr">
        <is>
          <t>Esporádico / único</t>
        </is>
      </c>
    </row>
    <row r="27">
      <c r="A27" s="4" t="inlineStr">
        <is>
          <t>PROSEGUR</t>
        </is>
      </c>
      <c r="B27" s="4" t="n">
        <v>7</v>
      </c>
      <c r="C27" s="5" t="n">
        <v>991280</v>
      </c>
      <c r="D27" s="5" t="n">
        <v>141611.4285714286</v>
      </c>
      <c r="E27" s="4" t="inlineStr">
        <is>
          <t>Recurrente (posible fijo)</t>
        </is>
      </c>
    </row>
    <row r="28">
      <c r="A28" s="4" t="inlineStr">
        <is>
          <t>TIGO-INTERNET</t>
        </is>
      </c>
      <c r="B28" s="4" t="n">
        <v>6</v>
      </c>
      <c r="C28" s="5" t="n">
        <v>818471</v>
      </c>
      <c r="D28" s="5" t="n">
        <v>136411.8333333333</v>
      </c>
      <c r="E28" s="4" t="inlineStr">
        <is>
          <t>Recurrente (posible fijo)</t>
        </is>
      </c>
    </row>
    <row r="29">
      <c r="A29" s="4" t="inlineStr">
        <is>
          <t>COMMERCE GROUP</t>
        </is>
      </c>
      <c r="B29" s="4" t="n">
        <v>1</v>
      </c>
      <c r="C29" s="5" t="n">
        <v>683900</v>
      </c>
      <c r="D29" s="5" t="n">
        <v>683900</v>
      </c>
      <c r="E29" s="7" t="inlineStr">
        <is>
          <t>Esporádico / único</t>
        </is>
      </c>
    </row>
    <row r="30">
      <c r="A30" s="4" t="inlineStr">
        <is>
          <t>TERESA DE JESUS SIERRA</t>
        </is>
      </c>
      <c r="B30" s="4" t="n">
        <v>2</v>
      </c>
      <c r="C30" s="5" t="n">
        <v>548000</v>
      </c>
      <c r="D30" s="5" t="n">
        <v>274000</v>
      </c>
      <c r="E30" s="7" t="inlineStr">
        <is>
          <t>Esporádico / único</t>
        </is>
      </c>
    </row>
    <row r="31">
      <c r="A31" s="4" t="inlineStr">
        <is>
          <t>AEROLINEA</t>
        </is>
      </c>
      <c r="B31" s="4" t="n">
        <v>1</v>
      </c>
      <c r="C31" s="5" t="n">
        <v>526673</v>
      </c>
      <c r="D31" s="5" t="n">
        <v>526673</v>
      </c>
      <c r="E31" s="7" t="inlineStr">
        <is>
          <t>Esporádico / único</t>
        </is>
      </c>
    </row>
    <row r="32">
      <c r="A32" s="4" t="inlineStr">
        <is>
          <t>SODIMAC COLOMBIA</t>
        </is>
      </c>
      <c r="B32" s="4" t="n">
        <v>1</v>
      </c>
      <c r="C32" s="5" t="n">
        <v>523090</v>
      </c>
      <c r="D32" s="5" t="n">
        <v>523090</v>
      </c>
      <c r="E32" s="7" t="inlineStr">
        <is>
          <t>Esporádico / único</t>
        </is>
      </c>
    </row>
    <row r="33">
      <c r="A33" s="4" t="inlineStr">
        <is>
          <t>IMPUESTO</t>
        </is>
      </c>
      <c r="B33" s="4" t="n">
        <v>1</v>
      </c>
      <c r="C33" s="5" t="n">
        <v>495000</v>
      </c>
      <c r="D33" s="5" t="n">
        <v>495000</v>
      </c>
      <c r="E33" s="7" t="inlineStr">
        <is>
          <t>Esporádico / único</t>
        </is>
      </c>
    </row>
    <row r="34">
      <c r="A34" s="4" t="inlineStr">
        <is>
          <t>ZORBITOS</t>
        </is>
      </c>
      <c r="B34" s="4" t="n">
        <v>1</v>
      </c>
      <c r="C34" s="5" t="n">
        <v>411059.9</v>
      </c>
      <c r="D34" s="5" t="n">
        <v>411059.9</v>
      </c>
      <c r="E34" s="7" t="inlineStr">
        <is>
          <t>Esporádico / único</t>
        </is>
      </c>
    </row>
    <row r="35">
      <c r="A35" s="4" t="inlineStr">
        <is>
          <t>D1</t>
        </is>
      </c>
      <c r="B35" s="4" t="n">
        <v>6</v>
      </c>
      <c r="C35" s="5" t="n">
        <v>390548.0234</v>
      </c>
      <c r="D35" s="5" t="n">
        <v>65091.33723333333</v>
      </c>
      <c r="E35" s="4" t="inlineStr">
        <is>
          <t>Recurrente (posible fijo)</t>
        </is>
      </c>
    </row>
    <row r="36">
      <c r="A36" s="4" t="inlineStr">
        <is>
          <t>CENTRO DE DIAGNOSTICO AUTOMOTOR LA AGUACATALA</t>
        </is>
      </c>
      <c r="B36" s="4" t="n">
        <v>1</v>
      </c>
      <c r="C36" s="5" t="n">
        <v>349901</v>
      </c>
      <c r="D36" s="5" t="n">
        <v>349901</v>
      </c>
      <c r="E36" s="7" t="inlineStr">
        <is>
          <t>Esporádico / único</t>
        </is>
      </c>
    </row>
    <row r="37">
      <c r="A37" s="4" t="inlineStr">
        <is>
          <t>WORLD OFFICE</t>
        </is>
      </c>
      <c r="B37" s="4" t="n">
        <v>1</v>
      </c>
      <c r="C37" s="5" t="n">
        <v>346950</v>
      </c>
      <c r="D37" s="5" t="n">
        <v>346950</v>
      </c>
      <c r="E37" s="7" t="inlineStr">
        <is>
          <t>Esporádico / único</t>
        </is>
      </c>
    </row>
    <row r="38">
      <c r="A38" s="4" t="inlineStr">
        <is>
          <t>CARMENFIRMA</t>
        </is>
      </c>
      <c r="B38" s="4" t="n">
        <v>1</v>
      </c>
      <c r="C38" s="5" t="n">
        <v>300832</v>
      </c>
      <c r="D38" s="5" t="n">
        <v>300832</v>
      </c>
      <c r="E38" s="7" t="inlineStr">
        <is>
          <t>Esporádico / único</t>
        </is>
      </c>
    </row>
    <row r="39">
      <c r="A39" s="4" t="inlineStr">
        <is>
          <t>SIERRA RAMIREZ</t>
        </is>
      </c>
      <c r="B39" s="4" t="n">
        <v>1</v>
      </c>
      <c r="C39" s="5" t="n">
        <v>282000</v>
      </c>
      <c r="D39" s="5" t="n">
        <v>282000</v>
      </c>
      <c r="E39" s="7" t="inlineStr">
        <is>
          <t>Esporádico / único</t>
        </is>
      </c>
    </row>
    <row r="40">
      <c r="A40" s="4" t="inlineStr">
        <is>
          <t>NO FAT NO FIT</t>
        </is>
      </c>
      <c r="B40" s="4" t="n">
        <v>2</v>
      </c>
      <c r="C40" s="5" t="n">
        <v>276401</v>
      </c>
      <c r="D40" s="5" t="n">
        <v>138200.5</v>
      </c>
      <c r="E40" s="7" t="inlineStr">
        <is>
          <t>Esporádico / único</t>
        </is>
      </c>
    </row>
    <row r="41">
      <c r="A41" s="4" t="inlineStr">
        <is>
          <t>SMART FIT</t>
        </is>
      </c>
      <c r="B41" s="4" t="n">
        <v>2</v>
      </c>
      <c r="C41" s="5" t="n">
        <v>219800</v>
      </c>
      <c r="D41" s="5" t="n">
        <v>109900</v>
      </c>
      <c r="E41" s="7" t="inlineStr">
        <is>
          <t>Esporádico / único</t>
        </is>
      </c>
    </row>
    <row r="42">
      <c r="A42" s="4" t="inlineStr">
        <is>
          <t>HAYBER CANO</t>
        </is>
      </c>
      <c r="B42" s="4" t="n">
        <v>1</v>
      </c>
      <c r="C42" s="5" t="n">
        <v>180000</v>
      </c>
      <c r="D42" s="5" t="n">
        <v>180000</v>
      </c>
      <c r="E42" s="7" t="inlineStr">
        <is>
          <t>Esporádico / único</t>
        </is>
      </c>
    </row>
    <row r="43">
      <c r="A43" s="4" t="inlineStr">
        <is>
          <t>NEFLIX</t>
        </is>
      </c>
      <c r="B43" s="4" t="n">
        <v>6</v>
      </c>
      <c r="C43" s="5" t="n">
        <v>179400</v>
      </c>
      <c r="D43" s="5" t="n">
        <v>29900</v>
      </c>
      <c r="E43" s="4" t="inlineStr">
        <is>
          <t>Recurrente (posible fijo)</t>
        </is>
      </c>
    </row>
    <row r="44">
      <c r="A44" s="4" t="inlineStr">
        <is>
          <t>NELSONVELASQUEZ</t>
        </is>
      </c>
      <c r="B44" s="4" t="n">
        <v>1</v>
      </c>
      <c r="C44" s="5" t="n">
        <v>150000</v>
      </c>
      <c r="D44" s="5" t="n">
        <v>150000</v>
      </c>
      <c r="E44" s="7" t="inlineStr">
        <is>
          <t>Esporádico / único</t>
        </is>
      </c>
    </row>
    <row r="45">
      <c r="A45" s="4" t="inlineStr">
        <is>
          <t>APPLE</t>
        </is>
      </c>
      <c r="B45" s="4" t="n">
        <v>5</v>
      </c>
      <c r="C45" s="5" t="n">
        <v>149893.28</v>
      </c>
      <c r="D45" s="5" t="n">
        <v>29978.656</v>
      </c>
      <c r="E45" s="4" t="inlineStr">
        <is>
          <t>Recurrente (posible fijo)</t>
        </is>
      </c>
    </row>
    <row r="46">
      <c r="A46" s="4" t="inlineStr">
        <is>
          <t>GOOGLE</t>
        </is>
      </c>
      <c r="B46" s="4" t="n">
        <v>4</v>
      </c>
      <c r="C46" s="5" t="n">
        <v>145883</v>
      </c>
      <c r="D46" s="5" t="n">
        <v>36470.75</v>
      </c>
      <c r="E46" s="7" t="inlineStr">
        <is>
          <t>Parcial -- revisar</t>
        </is>
      </c>
    </row>
    <row r="47">
      <c r="A47" s="4" t="inlineStr">
        <is>
          <t>MUNDO VERDE SALUD</t>
        </is>
      </c>
      <c r="B47" s="4" t="n">
        <v>1</v>
      </c>
      <c r="C47" s="5" t="n">
        <v>139527.37</v>
      </c>
      <c r="D47" s="5" t="n">
        <v>139527.37</v>
      </c>
      <c r="E47" s="7" t="inlineStr">
        <is>
          <t>Esporádico / único</t>
        </is>
      </c>
    </row>
    <row r="48">
      <c r="A48" s="4" t="inlineStr">
        <is>
          <t>TASA DE CONVIVENCIA</t>
        </is>
      </c>
      <c r="B48" s="4" t="n">
        <v>1</v>
      </c>
      <c r="C48" s="5" t="n">
        <v>122827</v>
      </c>
      <c r="D48" s="5" t="n">
        <v>122827</v>
      </c>
      <c r="E48" s="7" t="inlineStr">
        <is>
          <t>Esporádico / único</t>
        </is>
      </c>
    </row>
    <row r="49">
      <c r="A49" s="4" t="inlineStr">
        <is>
          <t>WORDL OFFICE</t>
        </is>
      </c>
      <c r="B49" s="4" t="n">
        <v>1</v>
      </c>
      <c r="C49" s="5" t="n">
        <v>120000</v>
      </c>
      <c r="D49" s="5" t="n">
        <v>120000</v>
      </c>
      <c r="E49" s="7" t="inlineStr">
        <is>
          <t>Esporádico / único</t>
        </is>
      </c>
    </row>
    <row r="50">
      <c r="A50" s="4" t="inlineStr">
        <is>
          <t>MAMERTTINA</t>
        </is>
      </c>
      <c r="B50" s="4" t="n">
        <v>1</v>
      </c>
      <c r="C50" s="5" t="n">
        <v>117000</v>
      </c>
      <c r="D50" s="5" t="n">
        <v>117000</v>
      </c>
      <c r="E50" s="7" t="inlineStr">
        <is>
          <t>Esporádico / único</t>
        </is>
      </c>
    </row>
    <row r="51">
      <c r="A51" s="4" t="inlineStr">
        <is>
          <t>LUZ ELENA MOLINA</t>
        </is>
      </c>
      <c r="B51" s="4" t="n">
        <v>1</v>
      </c>
      <c r="C51" s="5" t="n">
        <v>100000</v>
      </c>
      <c r="D51" s="5" t="n">
        <v>100000</v>
      </c>
      <c r="E51" s="7" t="inlineStr">
        <is>
          <t>Esporádico / único</t>
        </is>
      </c>
    </row>
    <row r="52">
      <c r="A52" s="4" t="inlineStr">
        <is>
          <t>OMNISALUD</t>
        </is>
      </c>
      <c r="B52" s="4" t="n">
        <v>1</v>
      </c>
      <c r="C52" s="5" t="n">
        <v>81800</v>
      </c>
      <c r="D52" s="5" t="n">
        <v>81800</v>
      </c>
      <c r="E52" s="7" t="inlineStr">
        <is>
          <t>Esporádico / único</t>
        </is>
      </c>
    </row>
    <row r="53">
      <c r="A53" s="4" t="inlineStr">
        <is>
          <t>PAPELERIA PINGUINO</t>
        </is>
      </c>
      <c r="B53" s="4" t="n">
        <v>1</v>
      </c>
      <c r="C53" s="5" t="n">
        <v>47325</v>
      </c>
      <c r="D53" s="5" t="n">
        <v>47325</v>
      </c>
      <c r="E53" s="7" t="inlineStr">
        <is>
          <t>Esporádico / único</t>
        </is>
      </c>
    </row>
    <row r="54">
      <c r="A54" s="4" t="inlineStr">
        <is>
          <t>BAKEAT</t>
        </is>
      </c>
      <c r="B54" s="4" t="n">
        <v>1</v>
      </c>
      <c r="C54" s="5" t="n">
        <v>32000.4</v>
      </c>
      <c r="D54" s="5" t="n">
        <v>32000.4</v>
      </c>
      <c r="E54" s="7" t="inlineStr">
        <is>
          <t>Esporádico / único</t>
        </is>
      </c>
    </row>
    <row r="55">
      <c r="A55" s="4" t="inlineStr">
        <is>
          <t>PERGAMINO</t>
        </is>
      </c>
      <c r="B55" s="4" t="n">
        <v>1</v>
      </c>
      <c r="C55" s="5" t="n">
        <v>30593</v>
      </c>
      <c r="D55" s="5" t="n">
        <v>30593</v>
      </c>
      <c r="E55" s="7" t="inlineStr">
        <is>
          <t>Esporádico / único</t>
        </is>
      </c>
    </row>
    <row r="56">
      <c r="A56" s="4" t="inlineStr">
        <is>
          <t>REDEBAN</t>
        </is>
      </c>
      <c r="B56" s="4" t="n">
        <v>6</v>
      </c>
      <c r="C56" s="5" t="n">
        <v>23538</v>
      </c>
      <c r="D56" s="5" t="n">
        <v>3923</v>
      </c>
      <c r="E56" s="4" t="inlineStr">
        <is>
          <t>Recurrente (posible fijo)</t>
        </is>
      </c>
    </row>
    <row r="57">
      <c r="A57" s="4" t="inlineStr">
        <is>
          <t>CAMARA</t>
        </is>
      </c>
      <c r="B57" s="4" t="n">
        <v>1</v>
      </c>
      <c r="C57" s="5" t="n">
        <v>18200</v>
      </c>
      <c r="D57" s="5" t="n">
        <v>18200</v>
      </c>
      <c r="E57" s="7" t="inlineStr">
        <is>
          <t>Esporádico / único</t>
        </is>
      </c>
    </row>
    <row r="58">
      <c r="A58" s="4" t="inlineStr">
        <is>
          <t>CAMARA DE COMERCIO</t>
        </is>
      </c>
      <c r="B58" s="4" t="n">
        <v>1</v>
      </c>
      <c r="C58" s="5" t="n">
        <v>18200</v>
      </c>
      <c r="D58" s="5" t="n">
        <v>18200</v>
      </c>
      <c r="E58" s="7" t="inlineStr">
        <is>
          <t>Esporádico / único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 ht="75" customHeight="1">
      <c r="A1" s="8" t="inlineStr">
        <is>
          <t>Qué es este archivo</t>
        </is>
      </c>
      <c r="B1" s="9" t="inlineStr">
        <is>
          <t>CONTROL DE PAGOS 2026.xlsx (Google Drive) es el registro de pagos y pendientes de Mompossina, organizado por mes (Enero-Agosto 2026) y por secciones dentro de cada mes: Gastos Personal, Gastos Administrativos, Préstamos, Mercadeo y Ventas, Producción, y Anticipos de clientes exterior. No es un P&amp;L limpio -- es un libro de pagos/facturas, así que hubo que sumar cada sección línea por línea.</t>
        </is>
      </c>
    </row>
    <row r="2" ht="75" customHeight="1">
      <c r="A2" s="8" t="inlineStr">
        <is>
          <t>⚠ No confundir con costos fijos de forma automática</t>
        </is>
      </c>
      <c r="B2" s="9" t="inlineStr">
        <is>
          <t>Gastos Personal y Gastos Administrativos son los candidatos más directos a 'costos fijos de la empresa', pero traen mezclados algunos pagos que NO son costo operativo recurrente: el más grande es 'IVA MAYO Y JUNIO' ($142.127.000 en julio) -- el IVA es un impuesto que se cobra a los clientes y se traslada a la DIAN, no es un gasto de la empresa; incluirlo infla artificialmente el costo fijo. Lo mismo aplica a 'DIAN DECLARACION DE RENTA 2025' y a los pagos de tarjeta de crédito (Visa, TC48225): estos últimos probablemente ya corresponden a compras registradas en otra sección (riesgo de doble conteo) -- falta confirmar con Natalia qué representan exactamente esos pagos de tarjeta.</t>
        </is>
      </c>
    </row>
    <row r="3" ht="75" customHeight="1">
      <c r="A3" s="8" t="inlineStr">
        <is>
          <t>Hallazgo: renta del Punto de Venta identificada</t>
        </is>
      </c>
      <c r="B3" s="9" t="inlineStr">
        <is>
          <t>'LIA UPEGUI' / 'LOCAL [MES]' dentro de Gastos Administrativos es, todo indica, el arriendo del local físico (Punto de Venta): aparece repetido mes a mes por $3.686.004 cada vez (5 de 8 meses con dato). Es el primer dato concreto y directo para el costo fijo específico del canal Punto de Venta.</t>
        </is>
      </c>
    </row>
    <row r="4" ht="75" customHeight="1">
      <c r="A4" s="8" t="inlineStr">
        <is>
          <t>Por confirmar: 'PADILLO' / 'CUOTA CASA NATA'</t>
        </is>
      </c>
      <c r="B4" s="9" t="inlineStr">
        <is>
          <t>Aparece cada mes por montos de $4.373.334 u $8.746.668 (algunos meses parecen incluir 2 cuotas). El nombre sugiere una cuota fija mensual ('Casa Nata') -- falta que Natalia confirme qué es exactamente (¿otra sede, bodega, o una obligación personal de Natalia que no debería ir en los costos fijos de la empresa?).</t>
        </is>
      </c>
    </row>
    <row r="5" ht="75" customHeight="1">
      <c r="A5" s="8" t="inlineStr">
        <is>
          <t>Confirma la decisión sobre costos indirectos</t>
        </is>
      </c>
      <c r="B5" s="9" t="inlineStr">
        <is>
          <t>La sección 'Mercadeo y Ventas' de este mismo archivo incluye maquillaje (ADRIPMAKEUP), ilustradora (VALENTINA), pauta (META), agencias de marketing (COOLTURE COMPANY) -- exactamente el tipo de gasto que antes se prorrateaba como 'costo indirecto' dentro del costeo de producto. Esto confirma la decisión de Natalia: esos gastos son de mercadeo/ventas, no de producción, y no deben ir en el costo unitario del producto.</t>
        </is>
      </c>
    </row>
    <row r="6" ht="75" customHeight="1">
      <c r="A6" s="8" t="inlineStr">
        <is>
          <t>Producción: ya cubierto por la base de costos, no duplicar</t>
        </is>
      </c>
      <c r="B6" s="9" t="inlineStr">
        <is>
          <t>La sección 'Producción' de este archivo (telas, insumos -- MANUFACTURA ELIOT, LA 49 TEXMARFE, INSUMO TEXTILES, etc.) es el gasto real de materia prima. Es el equivalente agregado del 'Costo Producto (directo)' que ya está en base-costos-precios.xlsx por SKU -- no sumarlo otra vez como costo fijo.</t>
        </is>
      </c>
    </row>
    <row r="7" ht="75" customHeight="1">
      <c r="A7" s="8" t="inlineStr">
        <is>
          <t>Préstamos: financiación, no costo operativo</t>
        </is>
      </c>
      <c r="B7" s="9" t="inlineStr">
        <is>
          <t>$184.946.145 en 8 meses. Es pago de deuda (capital + interés probablemente mezclados) -- no debería entrar en el punto de equilibrio operativo salvo que se quiera aislar el componente de interés como costo financiero fijo. Falta ese desglose.</t>
        </is>
      </c>
    </row>
    <row r="8" ht="75" customHeight="1">
      <c r="A8" s="8" t="inlineStr">
        <is>
          <t>Anticipos clientes exterior: no sirve como fuente de ventas</t>
        </is>
      </c>
      <c r="B8" s="9" t="inlineStr">
        <is>
          <t>Solo aparece un registro esporádico (ej. 'CRISTALINA - ABONO MUESTRAS'). No es un registro sistemático de ventas Internacionales -- confirma lo que dijo Natalia: la fuente de ventas de Nacional/Internacional todavía no existe como tal.</t>
        </is>
      </c>
    </row>
    <row r="9" ht="75" customHeight="1">
      <c r="A9" s="8" t="inlineStr">
        <is>
          <t>Sin dato de 2025</t>
        </is>
      </c>
      <c r="B9" s="9" t="inlineStr">
        <is>
          <t>Este archivo solo tiene Enero-Agosto 2026. Natalia confirmó que tampoco hay fuente de ventas 2025 para Nacional/Internacional -- lo que se está construyendo es el corrido 2026 (Enero-Julio).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2026-08-03T19:39:57Z</dcterms:created>
  <dcterms:modified xsi:type="dcterms:W3CDTF">2026-08-03T19:39:57Z</dcterms:modified>
</cp:coreProperties>
</file>