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KUs" sheetId="1" state="visible" r:id="rId1"/>
    <sheet name="Resumen por colección" sheetId="2" state="visible" r:id="rId2"/>
    <sheet name="Notas y advertencias" sheetId="3" state="visible" r:id="rId3"/>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5">
    <font>
      <name val="Calibri"/>
      <family val="2"/>
      <color theme="1"/>
      <sz val="11"/>
      <scheme val="minor"/>
    </font>
    <font>
      <name val="Arial"/>
      <b val="1"/>
      <color rgb="00FFFFFF"/>
    </font>
    <font>
      <name val="Arial"/>
    </font>
    <font>
      <name val="Arial"/>
      <color rgb="00C00000"/>
    </font>
    <font>
      <name val="Arial"/>
      <b val="1"/>
    </font>
  </fonts>
  <fills count="3">
    <fill>
      <patternFill/>
    </fill>
    <fill>
      <patternFill patternType="gray125"/>
    </fill>
    <fill>
      <patternFill patternType="solid">
        <fgColor rgb="002F5597"/>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164" fontId="3" fillId="0" borderId="0" pivotButton="0" quotePrefix="0" xfId="0"/>
    <xf numFmtId="165" fontId="2" fillId="0"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3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26" customWidth="1" min="5" max="5"/>
    <col width="28" customWidth="1" min="6" max="6"/>
    <col width="30" customWidth="1" min="7" max="7"/>
    <col width="20" customWidth="1" min="8" max="8"/>
    <col width="23" customWidth="1" min="9" max="9"/>
    <col width="14" customWidth="1" min="10" max="10"/>
    <col width="19" customWidth="1" min="11" max="11"/>
    <col width="19" customWidth="1" min="12" max="12"/>
    <col width="19" customWidth="1" min="13" max="13"/>
    <col width="27" customWidth="1" min="14" max="14"/>
    <col width="15" customWidth="1" min="15" max="15"/>
    <col width="22" customWidth="1" min="16" max="16"/>
    <col width="24" customWidth="1" min="17" max="17"/>
    <col width="21" customWidth="1" min="18" max="18"/>
    <col width="24" customWidth="1" min="19" max="19"/>
    <col width="30" customWidth="1" min="20" max="20"/>
    <col width="55" customWidth="1" min="21" max="21"/>
  </cols>
  <sheetData>
    <row r="1">
      <c r="A1" s="1" t="inlineStr">
        <is>
          <t>Colección</t>
        </is>
      </c>
      <c r="B1" s="1" t="inlineStr">
        <is>
          <t>Nombre</t>
        </is>
      </c>
      <c r="C1" s="1" t="inlineStr">
        <is>
          <t>Referencia</t>
        </is>
      </c>
      <c r="D1" s="1" t="inlineStr">
        <is>
          <t>Prendas producidas (colección)</t>
        </is>
      </c>
      <c r="E1" s="1" t="inlineStr">
        <is>
          <t>Costo Producto (directo)</t>
        </is>
      </c>
      <c r="F1" s="1" t="inlineStr">
        <is>
          <t>Costo Indirecto asignado ⚠</t>
        </is>
      </c>
      <c r="G1" s="1" t="inlineStr">
        <is>
          <t>Costo Total (directo+indirecto)</t>
        </is>
      </c>
      <c r="H1" s="1" t="inlineStr">
        <is>
          <t>Costo + IVA mínimo</t>
        </is>
      </c>
      <c r="I1" s="1" t="inlineStr">
        <is>
          <t>Precio Final Sugerido</t>
        </is>
      </c>
      <c r="J1" s="1" t="inlineStr">
        <is>
          <t>Precio Ideal</t>
        </is>
      </c>
      <c r="K1" s="1" t="inlineStr">
        <is>
          <t>Precio Multimarca</t>
        </is>
      </c>
      <c r="L1" s="1" t="inlineStr">
        <is>
          <t>Margen Multimarca</t>
        </is>
      </c>
      <c r="M1" s="1" t="inlineStr">
        <is>
          <t>Precio Página Web</t>
        </is>
      </c>
      <c r="N1" s="1" t="inlineStr">
        <is>
          <t>Margen Página Web y Redes</t>
        </is>
      </c>
      <c r="O1" s="1" t="inlineStr">
        <is>
          <t>Internacional</t>
        </is>
      </c>
      <c r="P1" s="1" t="inlineStr">
        <is>
          <t>Margen Internacional</t>
        </is>
      </c>
      <c r="Q1" s="1" t="inlineStr">
        <is>
          <t>Distribuidor Inter 30%</t>
        </is>
      </c>
      <c r="R1" s="1" t="inlineStr">
        <is>
          <t>Margen Distribuidor</t>
        </is>
      </c>
      <c r="S1" s="1" t="inlineStr">
        <is>
          <t>Precio Sugerido Retail</t>
        </is>
      </c>
      <c r="T1" s="1" t="inlineStr">
        <is>
          <t>Margen Directo Internacional</t>
        </is>
      </c>
      <c r="U1" s="1" t="inlineStr">
        <is>
          <t>Alertas</t>
        </is>
      </c>
    </row>
    <row r="2">
      <c r="A2" s="2" t="inlineStr">
        <is>
          <t>ANCIENT</t>
        </is>
      </c>
      <c r="B2" s="2" t="inlineStr">
        <is>
          <t>PRISMA TRIANGLE TOP</t>
        </is>
      </c>
      <c r="C2" s="2" t="inlineStr">
        <is>
          <t>283135/PRS</t>
        </is>
      </c>
      <c r="D2" s="2" t="n">
        <v>8000</v>
      </c>
      <c r="E2" s="3" t="n">
        <v>30776.65</v>
      </c>
      <c r="F2" s="4" t="n">
        <v>11739.386625</v>
      </c>
      <c r="G2" s="3">
        <f>IF(OR(E2="",F2=""),"",E2+F2)</f>
        <v/>
      </c>
      <c r="H2" s="3" t="n">
        <v>50594.08358375</v>
      </c>
      <c r="I2" s="3" t="n">
        <v>126485.208959375</v>
      </c>
      <c r="J2" s="3" t="n">
        <v>129900</v>
      </c>
      <c r="K2" s="3" t="n">
        <v>62221.00840336135</v>
      </c>
      <c r="L2" s="5" t="n">
        <v>0.3166932244270221</v>
      </c>
      <c r="M2" s="3" t="n">
        <v>76215.27731092437</v>
      </c>
      <c r="N2" s="5" t="n">
        <v>0.4421586048745383</v>
      </c>
      <c r="O2" s="3" t="n">
        <v>125047.1665441176</v>
      </c>
      <c r="P2" s="5" t="n">
        <v>0.6599999999999999</v>
      </c>
      <c r="Q2" s="3" t="n">
        <v>78400</v>
      </c>
      <c r="R2" s="5" t="n">
        <v>0.4577036144770408</v>
      </c>
      <c r="S2" s="3" t="n">
        <v>83.2</v>
      </c>
      <c r="T2" s="5" t="n">
        <v>0.8539971269745879</v>
      </c>
      <c r="U2" s="6" t="n"/>
    </row>
    <row r="3">
      <c r="A3" s="2" t="inlineStr">
        <is>
          <t>ANCIENT</t>
        </is>
      </c>
      <c r="B3" s="2" t="inlineStr">
        <is>
          <t>PRISMA STRAP TIE SIDE BOTTOM</t>
        </is>
      </c>
      <c r="C3" s="2" t="inlineStr">
        <is>
          <t>283236/PRS</t>
        </is>
      </c>
      <c r="D3" s="2" t="n">
        <v>8000</v>
      </c>
      <c r="E3" s="3" t="n">
        <v>28958.3</v>
      </c>
      <c r="F3" s="4" t="n">
        <v>11739.386625</v>
      </c>
      <c r="G3" s="3">
        <f>IF(OR(E3="",F3=""),"",E3+F3)</f>
        <v/>
      </c>
      <c r="H3" s="3" t="n">
        <v>48430.24708375</v>
      </c>
      <c r="I3" s="3" t="n">
        <v>121075.617709375</v>
      </c>
      <c r="J3" s="3" t="n">
        <v>119900</v>
      </c>
      <c r="K3" s="3" t="n">
        <v>57431.09243697478</v>
      </c>
      <c r="L3" s="5" t="n">
        <v>0.2913649227609263</v>
      </c>
      <c r="M3" s="3" t="n">
        <v>70348.05042016806</v>
      </c>
      <c r="N3" s="5" t="n">
        <v>0.4214809595727987</v>
      </c>
      <c r="O3" s="3" t="n">
        <v>119699.0783088235</v>
      </c>
      <c r="P3" s="5" t="n">
        <v>0.66</v>
      </c>
      <c r="Q3" s="3" t="n">
        <v>78400</v>
      </c>
      <c r="R3" s="5" t="n">
        <v>0.4808968542729591</v>
      </c>
      <c r="S3" s="3" t="n">
        <v>83.2</v>
      </c>
      <c r="T3" s="5" t="n">
        <v>0.8602414607657967</v>
      </c>
      <c r="U3" s="6" t="n"/>
    </row>
    <row r="4">
      <c r="A4" s="2" t="inlineStr">
        <is>
          <t>ANCIENT</t>
        </is>
      </c>
      <c r="B4" s="2" t="inlineStr">
        <is>
          <t>PRISMA KNOTTED BRALETTE TOP</t>
        </is>
      </c>
      <c r="C4" s="2" t="inlineStr">
        <is>
          <t>283179/PRS</t>
        </is>
      </c>
      <c r="D4" s="2" t="n">
        <v>8000</v>
      </c>
      <c r="E4" s="3" t="n">
        <v>35703.28125</v>
      </c>
      <c r="F4" s="4" t="n">
        <v>11739.386625</v>
      </c>
      <c r="G4" s="3">
        <f>IF(OR(E4="",F4=""),"",E4+F4)</f>
        <v/>
      </c>
      <c r="H4" s="3" t="n">
        <v>56456.77477125</v>
      </c>
      <c r="I4" s="3" t="n">
        <v>141141.936928125</v>
      </c>
      <c r="J4" s="3" t="n">
        <v>139900</v>
      </c>
      <c r="K4" s="3" t="n">
        <v>67010.9243697479</v>
      </c>
      <c r="L4" s="5" t="n">
        <v>0.2920159164911026</v>
      </c>
      <c r="M4" s="3" t="n">
        <v>82082.50420168067</v>
      </c>
      <c r="N4" s="5" t="n">
        <v>0.4220124210826819</v>
      </c>
      <c r="O4" s="3" t="n">
        <v>139537.2584558823</v>
      </c>
      <c r="P4" s="5" t="n">
        <v>0.66</v>
      </c>
      <c r="Q4" s="3" t="n">
        <v>83299.99999999999</v>
      </c>
      <c r="R4" s="5" t="n">
        <v>0.4304601695678271</v>
      </c>
      <c r="S4" s="3" t="n">
        <v>88.40000000000001</v>
      </c>
      <c r="T4" s="5" t="n">
        <v>0.8466623533451842</v>
      </c>
      <c r="U4" s="6" t="n"/>
    </row>
    <row r="5">
      <c r="A5" s="2" t="inlineStr">
        <is>
          <t>ANCIENT</t>
        </is>
      </c>
      <c r="B5" s="2" t="inlineStr">
        <is>
          <t>PRISMA HIGH WAIST BOTTOM</t>
        </is>
      </c>
      <c r="C5" s="2" t="inlineStr">
        <is>
          <t>283223/PRS</t>
        </is>
      </c>
      <c r="D5" s="2" t="n">
        <v>8000</v>
      </c>
      <c r="E5" s="3" t="n">
        <v>22473.125</v>
      </c>
      <c r="F5" s="4" t="n">
        <v>11739.386625</v>
      </c>
      <c r="G5" s="3">
        <f>IF(OR(E5="",F5=""),"",E5+F5)</f>
        <v/>
      </c>
      <c r="H5" s="3" t="n">
        <v>40712.88883375</v>
      </c>
      <c r="I5" s="3" t="n">
        <v>101782.222084375</v>
      </c>
      <c r="J5" s="3" t="n">
        <v>109900</v>
      </c>
      <c r="K5" s="3" t="n">
        <v>52641.17647058823</v>
      </c>
      <c r="L5" s="5" t="n">
        <v>0.3500807938037769</v>
      </c>
      <c r="M5" s="3" t="n">
        <v>64480.82352941175</v>
      </c>
      <c r="N5" s="5" t="n">
        <v>0.4694157153654437</v>
      </c>
      <c r="O5" s="3" t="n">
        <v>100625.0341911765</v>
      </c>
      <c r="P5" s="5" t="n">
        <v>0.6599999999999999</v>
      </c>
      <c r="Q5" s="3" t="n">
        <v>78400</v>
      </c>
      <c r="R5" s="5" t="n">
        <v>0.5636159231505102</v>
      </c>
      <c r="S5" s="3" t="n">
        <v>83.2</v>
      </c>
      <c r="T5" s="5" t="n">
        <v>0.8825119793097528</v>
      </c>
      <c r="U5" s="6" t="n"/>
    </row>
    <row r="6">
      <c r="A6" s="2" t="inlineStr">
        <is>
          <t>ANCIENT</t>
        </is>
      </c>
      <c r="B6" s="2" t="inlineStr">
        <is>
          <t>PRISMA SPORTY ONE PIECE</t>
        </is>
      </c>
      <c r="C6" s="2" t="inlineStr">
        <is>
          <t>283356/PRS</t>
        </is>
      </c>
      <c r="D6" s="2" t="n">
        <v>8000</v>
      </c>
      <c r="E6" s="3" t="n">
        <v>43235.525</v>
      </c>
      <c r="F6" s="4" t="n">
        <v>11739.386625</v>
      </c>
      <c r="G6" s="3">
        <f>IF(OR(E6="",F6=""),"",E6+F6)</f>
        <v/>
      </c>
      <c r="H6" s="3" t="n">
        <v>65420.14483375</v>
      </c>
      <c r="I6" s="3" t="n">
        <v>163550.362084375</v>
      </c>
      <c r="J6" s="3" t="n">
        <v>199900</v>
      </c>
      <c r="K6" s="3" t="n">
        <v>95750.42016806723</v>
      </c>
      <c r="L6" s="5" t="n">
        <v>0.4258520064089062</v>
      </c>
      <c r="M6" s="3" t="n">
        <v>117285.8655462185</v>
      </c>
      <c r="N6" s="5" t="n">
        <v>0.5312741960084166</v>
      </c>
      <c r="O6" s="3" t="n">
        <v>161690.9165441176</v>
      </c>
      <c r="P6" s="5" t="n">
        <v>0.6599999999999999</v>
      </c>
      <c r="Q6" s="3" t="n">
        <v>129850</v>
      </c>
      <c r="R6" s="5" t="n">
        <v>0.5766275577589527</v>
      </c>
      <c r="S6" s="3" t="n">
        <v>137.8</v>
      </c>
      <c r="T6" s="5" t="n">
        <v>0.8860151117043334</v>
      </c>
      <c r="U6" s="6" t="n"/>
    </row>
    <row r="7">
      <c r="A7" s="2" t="inlineStr">
        <is>
          <t>ANCIENT</t>
        </is>
      </c>
      <c r="B7" s="2" t="inlineStr">
        <is>
          <t>I'M WHITE TRIANGLE TOP</t>
        </is>
      </c>
      <c r="C7" s="2" t="inlineStr">
        <is>
          <t>283135/WHT</t>
        </is>
      </c>
      <c r="D7" s="2" t="n">
        <v>8000</v>
      </c>
      <c r="E7" s="3" t="n">
        <v>28598.525</v>
      </c>
      <c r="F7" s="4" t="n">
        <v>11739.386625</v>
      </c>
      <c r="G7" s="3">
        <f>IF(OR(E7="",F7=""),"",E7+F7)</f>
        <v/>
      </c>
      <c r="H7" s="3" t="n">
        <v>48002.11483375</v>
      </c>
      <c r="I7" s="3" t="n">
        <v>120005.287084375</v>
      </c>
      <c r="J7" s="3" t="n">
        <v>129900</v>
      </c>
      <c r="K7" s="3" t="n">
        <v>62221.00840336135</v>
      </c>
      <c r="L7" s="5" t="n">
        <v>0.3516994876794565</v>
      </c>
      <c r="M7" s="3" t="n">
        <v>76215.27731092437</v>
      </c>
      <c r="N7" s="5" t="n">
        <v>0.4707371927489118</v>
      </c>
      <c r="O7" s="3" t="n">
        <v>118640.9165441176</v>
      </c>
      <c r="P7" s="5" t="n">
        <v>0.6599999999999999</v>
      </c>
      <c r="Q7" s="3" t="n">
        <v>78400</v>
      </c>
      <c r="R7" s="5" t="n">
        <v>0.4854858211096938</v>
      </c>
      <c r="S7" s="3" t="n">
        <v>83.2</v>
      </c>
      <c r="T7" s="5" t="n">
        <v>0.8614769518372253</v>
      </c>
      <c r="U7" s="6" t="n"/>
    </row>
    <row r="8">
      <c r="A8" s="2" t="inlineStr">
        <is>
          <t>ANCIENT</t>
        </is>
      </c>
      <c r="B8" s="2" t="inlineStr">
        <is>
          <t>I'M WHITE STRAP TIE SIDE BOTTOM</t>
        </is>
      </c>
      <c r="C8" s="2" t="inlineStr">
        <is>
          <t>283236/WHT</t>
        </is>
      </c>
      <c r="D8" s="2" t="n">
        <v>8000</v>
      </c>
      <c r="E8" s="3" t="n">
        <v>26604.9</v>
      </c>
      <c r="F8" s="4" t="n">
        <v>11739.386625</v>
      </c>
      <c r="G8" s="3">
        <f>IF(OR(E8="",F8=""),"",E8+F8)</f>
        <v/>
      </c>
      <c r="H8" s="3" t="n">
        <v>45629.70108375</v>
      </c>
      <c r="I8" s="3" t="n">
        <v>114074.252709375</v>
      </c>
      <c r="J8" s="3" t="n">
        <v>119900</v>
      </c>
      <c r="K8" s="3" t="n">
        <v>57431.09243697478</v>
      </c>
      <c r="L8" s="5" t="n">
        <v>0.33234272590097</v>
      </c>
      <c r="M8" s="3" t="n">
        <v>70348.05042016806</v>
      </c>
      <c r="N8" s="5" t="n">
        <v>0.4549346229784487</v>
      </c>
      <c r="O8" s="3" t="n">
        <v>112777.3136029412</v>
      </c>
      <c r="P8" s="5" t="n">
        <v>0.6599999999999999</v>
      </c>
      <c r="Q8" s="3" t="n">
        <v>78400</v>
      </c>
      <c r="R8" s="5" t="n">
        <v>0.5109147114158163</v>
      </c>
      <c r="S8" s="3" t="n">
        <v>83.2</v>
      </c>
      <c r="T8" s="5" t="n">
        <v>0.8683231915350275</v>
      </c>
      <c r="U8" s="6" t="n"/>
    </row>
    <row r="9">
      <c r="A9" s="2" t="inlineStr">
        <is>
          <t>ANCIENT</t>
        </is>
      </c>
      <c r="B9" s="2" t="inlineStr">
        <is>
          <t>I'M WHITE KNOTTED BRALETTE TOP</t>
        </is>
      </c>
      <c r="C9" s="2" t="inlineStr">
        <is>
          <t>283179/WHT</t>
        </is>
      </c>
      <c r="D9" s="2" t="n">
        <v>8000</v>
      </c>
      <c r="E9" s="3" t="n">
        <v>38460.5625</v>
      </c>
      <c r="F9" s="4" t="n">
        <v>11739.386625</v>
      </c>
      <c r="G9" s="3">
        <f>IF(OR(E9="",F9=""),"",E9+F9)</f>
        <v/>
      </c>
      <c r="H9" s="3" t="n">
        <v>59737.93945875</v>
      </c>
      <c r="I9" s="3" t="n">
        <v>149344.848646875</v>
      </c>
      <c r="J9" s="3" t="n">
        <v>149900</v>
      </c>
      <c r="K9" s="3" t="n">
        <v>71800.84033613445</v>
      </c>
      <c r="L9" s="5" t="n">
        <v>0.3008445459692426</v>
      </c>
      <c r="M9" s="3" t="n">
        <v>87949.73109243697</v>
      </c>
      <c r="N9" s="5" t="n">
        <v>0.4292199816706793</v>
      </c>
      <c r="O9" s="3" t="n">
        <v>147646.9091911765</v>
      </c>
      <c r="P9" s="5" t="n">
        <v>0.66</v>
      </c>
      <c r="Q9" s="3" t="n">
        <v>88200</v>
      </c>
      <c r="R9" s="5" t="n">
        <v>0.4308395790816327</v>
      </c>
      <c r="S9" s="3" t="n">
        <v>93.60000000000001</v>
      </c>
      <c r="T9" s="5" t="n">
        <v>0.8467645020604396</v>
      </c>
      <c r="U9" s="6" t="n"/>
    </row>
    <row r="10">
      <c r="A10" s="2" t="inlineStr">
        <is>
          <t>ANCIENT</t>
        </is>
      </c>
      <c r="B10" s="2" t="inlineStr">
        <is>
          <t>I'M WHITE CHEEKY BOTTOM</t>
        </is>
      </c>
      <c r="C10" s="2" t="inlineStr">
        <is>
          <t>283221/WHT</t>
        </is>
      </c>
      <c r="D10" s="2" t="n">
        <v>8000</v>
      </c>
      <c r="E10" s="3" t="n">
        <v>27145.125</v>
      </c>
      <c r="F10" s="4" t="n">
        <v>11739.386625</v>
      </c>
      <c r="G10" s="3">
        <f>IF(OR(E10="",F10=""),"",E10+F10)</f>
        <v/>
      </c>
      <c r="H10" s="3" t="n">
        <v>46272.56883375</v>
      </c>
      <c r="I10" s="3" t="n">
        <v>115681.422084375</v>
      </c>
      <c r="J10" s="3" t="n">
        <v>119900</v>
      </c>
      <c r="K10" s="3" t="n">
        <v>57431.09243697478</v>
      </c>
      <c r="L10" s="5" t="n">
        <v>0.322936235843466</v>
      </c>
      <c r="M10" s="3" t="n">
        <v>70348.05042016806</v>
      </c>
      <c r="N10" s="5" t="n">
        <v>0.4472553056871607</v>
      </c>
      <c r="O10" s="3" t="n">
        <v>114366.2106617647</v>
      </c>
      <c r="P10" s="5" t="n">
        <v>0.6599999999999999</v>
      </c>
      <c r="Q10" s="3" t="n">
        <v>78400</v>
      </c>
      <c r="R10" s="5" t="n">
        <v>0.5040240864158163</v>
      </c>
      <c r="S10" s="3" t="n">
        <v>83.2</v>
      </c>
      <c r="T10" s="5" t="n">
        <v>0.8664680232657967</v>
      </c>
      <c r="U10" s="6" t="n"/>
    </row>
    <row r="11">
      <c r="A11" s="2" t="inlineStr">
        <is>
          <t>ANCIENT</t>
        </is>
      </c>
      <c r="B11" s="2" t="inlineStr">
        <is>
          <t>I'M WHITE ASYMMETRIC ONE SHOULDER</t>
        </is>
      </c>
      <c r="C11" s="2" t="inlineStr">
        <is>
          <t>283377/WHT</t>
        </is>
      </c>
      <c r="D11" s="2" t="n">
        <v>8000</v>
      </c>
      <c r="E11" s="3" t="n">
        <v>44962.0875</v>
      </c>
      <c r="F11" s="4" t="n">
        <v>11739.386625</v>
      </c>
      <c r="G11" s="3">
        <f>IF(OR(E11="",F11=""),"",E11+F11)</f>
        <v/>
      </c>
      <c r="H11" s="3" t="n">
        <v>67474.75420875</v>
      </c>
      <c r="I11" s="3" t="n">
        <v>168686.885521875</v>
      </c>
      <c r="J11" s="3" t="n">
        <v>199900</v>
      </c>
      <c r="K11" s="3" t="n">
        <v>95750.42016806723</v>
      </c>
      <c r="L11" s="5" t="n">
        <v>0.4078201012019168</v>
      </c>
      <c r="M11" s="3" t="n">
        <v>117285.8655462185</v>
      </c>
      <c r="N11" s="5" t="n">
        <v>0.5165532192567925</v>
      </c>
      <c r="O11" s="3" t="n">
        <v>166769.0415441176</v>
      </c>
      <c r="P11" s="5" t="n">
        <v>0.6599999999999999</v>
      </c>
      <c r="Q11" s="3" t="n">
        <v>137200</v>
      </c>
      <c r="R11" s="5" t="n">
        <v>0.586723949526239</v>
      </c>
      <c r="S11" s="3" t="n">
        <v>145.6</v>
      </c>
      <c r="T11" s="5" t="n">
        <v>0.8887333710262951</v>
      </c>
      <c r="U11" s="6" t="n"/>
    </row>
    <row r="12">
      <c r="A12" s="2" t="inlineStr">
        <is>
          <t>ANCIENT</t>
        </is>
      </c>
      <c r="B12" s="2" t="inlineStr">
        <is>
          <t>PRISMA PAREO</t>
        </is>
      </c>
      <c r="C12" s="2" t="inlineStr">
        <is>
          <t>28RE22/PRS</t>
        </is>
      </c>
      <c r="D12" s="2" t="n">
        <v>8000</v>
      </c>
      <c r="E12" s="3" t="n">
        <v>31578.17142857143</v>
      </c>
      <c r="F12" s="4" t="n">
        <v>11739.386625</v>
      </c>
      <c r="G12" s="3">
        <f>IF(OR(E12="",F12=""),"",E12+F12)</f>
        <v/>
      </c>
      <c r="H12" s="3" t="n">
        <v>51547.89408374999</v>
      </c>
      <c r="I12" s="3" t="n">
        <v>128869.735209375</v>
      </c>
      <c r="J12" s="3" t="n">
        <v>139900</v>
      </c>
      <c r="K12" s="3" t="n">
        <v>67010.9243697479</v>
      </c>
      <c r="L12" s="5" t="n">
        <v>0.3535746826210451</v>
      </c>
      <c r="M12" s="3" t="n">
        <v>82082.50420168067</v>
      </c>
      <c r="N12" s="5" t="n">
        <v>0.4722680737525004</v>
      </c>
      <c r="O12" s="3" t="n">
        <v>127404.5825105042</v>
      </c>
      <c r="P12" s="5" t="n">
        <v>0.66</v>
      </c>
      <c r="Q12" s="3" t="n">
        <v>88200</v>
      </c>
      <c r="R12" s="5" t="n">
        <v>0.5088712238824101</v>
      </c>
      <c r="S12" s="3" t="n">
        <v>93.60000000000001</v>
      </c>
      <c r="T12" s="5" t="n">
        <v>0.867773021814495</v>
      </c>
      <c r="U12" s="6" t="n"/>
    </row>
    <row r="13">
      <c r="A13" s="2" t="inlineStr">
        <is>
          <t>ANCIENT</t>
        </is>
      </c>
      <c r="B13" s="2" t="inlineStr">
        <is>
          <t>PRISMA HEADKERCHIEF</t>
        </is>
      </c>
      <c r="C13" s="2" t="inlineStr">
        <is>
          <t>28KE21/PRS</t>
        </is>
      </c>
      <c r="D13" s="2" t="n">
        <v>8000</v>
      </c>
      <c r="E13" s="3" t="n">
        <v>19794.12</v>
      </c>
      <c r="F13" s="4" t="n">
        <v>3159.75</v>
      </c>
      <c r="G13" s="3">
        <f>IF(OR(E13="",F13=""),"",E13+F13)</f>
        <v/>
      </c>
      <c r="H13" s="3" t="n">
        <v>27315.1053</v>
      </c>
      <c r="I13" s="3" t="n">
        <v>68287.76324999999</v>
      </c>
      <c r="J13" s="3" t="n">
        <v>59900</v>
      </c>
      <c r="K13" s="3" t="n">
        <v>28691.59663865546</v>
      </c>
      <c r="L13" s="5" t="n">
        <v>0.1999793427642562</v>
      </c>
      <c r="M13" s="3" t="n">
        <v>35144.68907563025</v>
      </c>
      <c r="N13" s="5" t="n">
        <v>0.3468751437634289</v>
      </c>
      <c r="O13" s="3" t="n">
        <v>67511.38235294117</v>
      </c>
      <c r="P13" s="5" t="n">
        <v>0.66</v>
      </c>
      <c r="Q13" s="3" t="n">
        <v>39200</v>
      </c>
      <c r="R13" s="5" t="n">
        <v>0.4144420918367347</v>
      </c>
      <c r="S13" s="3" t="n">
        <v>41.6</v>
      </c>
      <c r="T13" s="5" t="n">
        <v>0.842349793956044</v>
      </c>
      <c r="U13" s="6" t="n"/>
    </row>
    <row r="14">
      <c r="A14" s="2" t="inlineStr">
        <is>
          <t>ANCIENT</t>
        </is>
      </c>
      <c r="B14" s="2" t="inlineStr">
        <is>
          <t>PRISMA MESH SHIRT</t>
        </is>
      </c>
      <c r="C14" s="2" t="inlineStr">
        <is>
          <t>28CA36/PRS</t>
        </is>
      </c>
      <c r="D14" s="2" t="n">
        <v>8000</v>
      </c>
      <c r="E14" s="3" t="n">
        <v>32455.55913978495</v>
      </c>
      <c r="F14" s="4" t="n">
        <v>11739.386625</v>
      </c>
      <c r="G14" s="3">
        <f>IF(OR(E14="",F14=""),"",E14+F14)</f>
        <v/>
      </c>
      <c r="H14" s="3" t="n">
        <v>52591.98546009409</v>
      </c>
      <c r="I14" s="3" t="n">
        <v>131479.9636502352</v>
      </c>
      <c r="J14" s="3" t="n">
        <v>129900</v>
      </c>
      <c r="K14" s="3" t="n">
        <v>62221.00840336135</v>
      </c>
      <c r="L14" s="5" t="n">
        <v>0.2897102297301016</v>
      </c>
      <c r="M14" s="3" t="n">
        <v>76215.27731092437</v>
      </c>
      <c r="N14" s="5" t="n">
        <v>0.4201300930194184</v>
      </c>
      <c r="O14" s="3" t="n">
        <v>129985.1346023087</v>
      </c>
      <c r="P14" s="5" t="n">
        <v>0.66</v>
      </c>
      <c r="Q14" s="3" t="n">
        <v>95549.99999999999</v>
      </c>
      <c r="R14" s="5" t="n">
        <v>0.5374678622209842</v>
      </c>
      <c r="S14" s="3" t="n">
        <v>101.4</v>
      </c>
      <c r="T14" s="5" t="n">
        <v>0.8754721167518035</v>
      </c>
      <c r="U14" s="6" t="n"/>
    </row>
    <row r="15">
      <c r="A15" s="2" t="inlineStr">
        <is>
          <t>ANCIENT</t>
        </is>
      </c>
      <c r="B15" s="2" t="inlineStr">
        <is>
          <t>PRISMA MESH CLASSIC LONG SHIRT</t>
        </is>
      </c>
      <c r="C15" s="2" t="inlineStr">
        <is>
          <t>28CA40/PRS</t>
        </is>
      </c>
      <c r="D15" s="2" t="n">
        <v>8000</v>
      </c>
      <c r="E15" s="3" t="n">
        <v>43583.19166666667</v>
      </c>
      <c r="F15" s="4" t="n">
        <v>11739.386625</v>
      </c>
      <c r="G15" s="3">
        <f>IF(OR(E15="",F15=""),"",E15+F15)</f>
        <v/>
      </c>
      <c r="H15" s="3" t="n">
        <v>65833.86816708333</v>
      </c>
      <c r="I15" s="3" t="n">
        <v>164584.6704177083</v>
      </c>
      <c r="J15" s="3" t="n">
        <v>159900</v>
      </c>
      <c r="K15" s="3" t="n">
        <v>76590.75630252101</v>
      </c>
      <c r="L15" s="5" t="n">
        <v>0.2776859641762578</v>
      </c>
      <c r="M15" s="3" t="n">
        <v>93816.95798319328</v>
      </c>
      <c r="N15" s="5" t="n">
        <v>0.4103136631057963</v>
      </c>
      <c r="O15" s="3" t="n">
        <v>162713.4655637255</v>
      </c>
      <c r="P15" s="5" t="n">
        <v>0.66</v>
      </c>
      <c r="Q15" s="3" t="n">
        <v>107800</v>
      </c>
      <c r="R15" s="5" t="n">
        <v>0.4868035408936301</v>
      </c>
      <c r="S15" s="3" t="n">
        <v>114.4</v>
      </c>
      <c r="T15" s="5" t="n">
        <v>0.861831722548285</v>
      </c>
      <c r="U15" s="6" t="n"/>
    </row>
    <row r="16">
      <c r="A16" s="2" t="inlineStr">
        <is>
          <t>ANCIENT</t>
        </is>
      </c>
      <c r="B16" s="2" t="inlineStr">
        <is>
          <t>PRISMA T-SHIRT</t>
        </is>
      </c>
      <c r="C16" s="2" t="inlineStr">
        <is>
          <t>28TSH20/PRS</t>
        </is>
      </c>
      <c r="D16" s="2" t="n">
        <v>8000</v>
      </c>
      <c r="E16" s="3" t="n">
        <v>28862.74509803922</v>
      </c>
      <c r="F16" s="4" t="n">
        <v>11739.386625</v>
      </c>
      <c r="G16" s="3">
        <f>IF(OR(E16="",F16=""),"",E16+F16)</f>
        <v/>
      </c>
      <c r="H16" s="3" t="n">
        <v>48316.53675041666</v>
      </c>
      <c r="I16" s="3" t="n">
        <v>120791.3418760417</v>
      </c>
      <c r="J16" s="3" t="n">
        <v>129900</v>
      </c>
      <c r="K16" s="3" t="n">
        <v>62221.00840336135</v>
      </c>
      <c r="L16" s="5" t="n">
        <v>0.3474530104072409</v>
      </c>
      <c r="M16" s="3" t="n">
        <v>76215.27731092437</v>
      </c>
      <c r="N16" s="5" t="n">
        <v>0.4672704324436083</v>
      </c>
      <c r="O16" s="3" t="n">
        <v>119418.0344795271</v>
      </c>
      <c r="P16" s="5" t="n">
        <v>0.6599999999999999</v>
      </c>
      <c r="Q16" s="3" t="n">
        <v>83299.99999999999</v>
      </c>
      <c r="R16" s="5" t="n">
        <v>0.512579451103971</v>
      </c>
      <c r="S16" s="3" t="n">
        <v>88.40000000000001</v>
      </c>
      <c r="T16" s="5" t="n">
        <v>0.8687713906818384</v>
      </c>
      <c r="U16" s="6" t="n"/>
    </row>
    <row r="17">
      <c r="A17" s="2" t="inlineStr">
        <is>
          <t>ANCIENT</t>
        </is>
      </c>
      <c r="B17" s="2" t="inlineStr">
        <is>
          <t>PRISMA MESH DRESS</t>
        </is>
      </c>
      <c r="C17" s="2" t="inlineStr">
        <is>
          <t>28VE32/PRS</t>
        </is>
      </c>
      <c r="D17" s="2" t="n">
        <v>8000</v>
      </c>
      <c r="E17" s="3" t="n">
        <v>50498.71999999999</v>
      </c>
      <c r="F17" s="4" t="n">
        <v>11739.386625</v>
      </c>
      <c r="G17" s="3">
        <f>IF(OR(E17="",F17=""),"",E17+F17)</f>
        <v/>
      </c>
      <c r="H17" s="3" t="n">
        <v>74063.34688374998</v>
      </c>
      <c r="I17" s="3" t="n">
        <v>185158.367209375</v>
      </c>
      <c r="J17" s="3" t="n">
        <v>179900</v>
      </c>
      <c r="K17" s="3" t="n">
        <v>86170.58823529411</v>
      </c>
      <c r="L17" s="5" t="n">
        <v>0.2777337616048877</v>
      </c>
      <c r="M17" s="3" t="n">
        <v>105551.4117647059</v>
      </c>
      <c r="N17" s="5" t="n">
        <v>0.4103526842090891</v>
      </c>
      <c r="O17" s="3" t="n">
        <v>183053.2547794117</v>
      </c>
      <c r="P17" s="5" t="n">
        <v>0.66</v>
      </c>
      <c r="Q17" s="3" t="n">
        <v>120050</v>
      </c>
      <c r="R17" s="5" t="n">
        <v>0.4815651259891712</v>
      </c>
      <c r="S17" s="3" t="n">
        <v>127.4</v>
      </c>
      <c r="T17" s="5" t="n">
        <v>0.8604213800740076</v>
      </c>
      <c r="U17" s="6" t="n"/>
    </row>
    <row r="18">
      <c r="A18" s="2" t="inlineStr">
        <is>
          <t>ANCIENT</t>
        </is>
      </c>
      <c r="B18" s="2" t="inlineStr">
        <is>
          <t>PRISMA SLEEP SHORT SLEEVELESS SHIRT</t>
        </is>
      </c>
      <c r="C18" s="2" t="inlineStr">
        <is>
          <t>284125/PRS</t>
        </is>
      </c>
      <c r="D18" s="2" t="n">
        <v>8000</v>
      </c>
      <c r="E18" s="3" t="n">
        <v>20575.8083333333</v>
      </c>
      <c r="F18" s="4" t="n">
        <v>11739.386625</v>
      </c>
      <c r="G18" s="3">
        <f>IF(OR(E18="",F18=""),"",E18+F18)</f>
        <v/>
      </c>
      <c r="H18" s="3" t="n">
        <v>38455.08200041662</v>
      </c>
      <c r="I18" s="3" t="n">
        <v>96137.70500104156</v>
      </c>
      <c r="J18" s="3" t="n">
        <v>89950</v>
      </c>
      <c r="K18" s="3" t="n">
        <v>43085.29411764706</v>
      </c>
      <c r="L18" s="5" t="n">
        <v>0.2499715826450049</v>
      </c>
      <c r="M18" s="3" t="n">
        <v>52775.70588235294</v>
      </c>
      <c r="N18" s="5" t="n">
        <v>0.3876880580172627</v>
      </c>
      <c r="O18" s="3" t="n">
        <v>95044.69105392147</v>
      </c>
      <c r="P18" s="5" t="n">
        <v>0.6599999999999999</v>
      </c>
      <c r="Q18" s="3" t="n">
        <v>39200</v>
      </c>
      <c r="R18" s="5" t="n">
        <v>0.1756327816751709</v>
      </c>
      <c r="S18" s="3" t="n">
        <v>41.6</v>
      </c>
      <c r="T18" s="5" t="n">
        <v>0.7780549796817767</v>
      </c>
      <c r="U18" s="6" t="n"/>
    </row>
    <row r="19">
      <c r="A19" s="2" t="inlineStr">
        <is>
          <t>ANCIENT</t>
        </is>
      </c>
      <c r="B19" s="2" t="inlineStr">
        <is>
          <t>PRISMA SLEEP SHORT</t>
        </is>
      </c>
      <c r="C19" s="2" t="inlineStr">
        <is>
          <t>284222/PRS</t>
        </is>
      </c>
      <c r="D19" s="2" t="n">
        <v>8000</v>
      </c>
      <c r="E19" s="3" t="n">
        <v>20575.8083333333</v>
      </c>
      <c r="F19" s="4" t="n">
        <v>11739.386625</v>
      </c>
      <c r="G19" s="3">
        <f>IF(OR(E19="",F19=""),"",E19+F19)</f>
        <v/>
      </c>
      <c r="H19" s="3" t="n">
        <v>38455.08200041662</v>
      </c>
      <c r="I19" s="3" t="n">
        <v>96137.70500104156</v>
      </c>
      <c r="J19" s="3" t="n">
        <v>89950</v>
      </c>
      <c r="K19" s="3" t="n">
        <v>43085.29411764706</v>
      </c>
      <c r="L19" s="5" t="n">
        <v>0.2499715826450049</v>
      </c>
      <c r="M19" s="3" t="n">
        <v>52775.70588235294</v>
      </c>
      <c r="N19" s="5" t="n">
        <v>0.3876880580172627</v>
      </c>
      <c r="O19" s="3" t="n">
        <v>95044.69105392147</v>
      </c>
      <c r="P19" s="5" t="n">
        <v>0.6599999999999999</v>
      </c>
      <c r="Q19" s="3" t="n">
        <v>39200</v>
      </c>
      <c r="R19" s="5" t="n">
        <v>0.1756327816751709</v>
      </c>
      <c r="S19" s="3" t="n">
        <v>41.6</v>
      </c>
      <c r="T19" s="5" t="n">
        <v>0.7780549796817767</v>
      </c>
      <c r="U19" s="6" t="n"/>
    </row>
    <row r="20">
      <c r="A20" s="2" t="inlineStr">
        <is>
          <t>ANCIENT</t>
        </is>
      </c>
      <c r="B20" s="2" t="inlineStr">
        <is>
          <t>I'M WHITE MESH KNIT SHIRT</t>
        </is>
      </c>
      <c r="C20" s="2" t="inlineStr">
        <is>
          <t>28CA37/WHT</t>
        </is>
      </c>
      <c r="D20" s="2" t="n">
        <v>8000</v>
      </c>
      <c r="E20" s="3" t="n"/>
      <c r="F20" s="4" t="n">
        <v>11739.386625</v>
      </c>
      <c r="G20" s="3">
        <f>IF(OR(E20="",F20=""),"",E20+F20)</f>
        <v/>
      </c>
      <c r="H20" s="3" t="n">
        <v>13969.87008375</v>
      </c>
      <c r="I20" s="3" t="n">
        <v>34924.675209375</v>
      </c>
      <c r="J20" s="3" t="n">
        <v>99950</v>
      </c>
      <c r="K20" s="3" t="n">
        <v>47875.21008403361</v>
      </c>
      <c r="L20" s="5" t="n">
        <v>0.7547919559121666</v>
      </c>
      <c r="M20" s="3" t="n">
        <v>58642.93277310924</v>
      </c>
      <c r="N20" s="5" t="n">
        <v>0.7998158333857562</v>
      </c>
      <c r="O20" s="3" t="n">
        <v>34527.60772058823</v>
      </c>
      <c r="P20" s="5" t="n">
        <v>0.66</v>
      </c>
      <c r="Q20" s="3" t="n">
        <v>83299.99999999999</v>
      </c>
      <c r="R20" s="5" t="n">
        <v>0.8590709888955582</v>
      </c>
      <c r="S20" s="3" t="n">
        <v>88.40000000000001</v>
      </c>
      <c r="T20" s="5" t="n">
        <v>0.9620575739334196</v>
      </c>
      <c r="U20" s="7" t="inlineStr">
        <is>
          <t>Falta costo directo (COSTO PRODUCTO) en el archivo original — ya venía como #DIV/0! ahí</t>
        </is>
      </c>
    </row>
    <row r="21">
      <c r="A21" s="2" t="inlineStr">
        <is>
          <t>ANCIENT</t>
        </is>
      </c>
      <c r="B21" s="2" t="inlineStr">
        <is>
          <t>I'M WHITE MESH KNIT PANTS</t>
        </is>
      </c>
      <c r="C21" s="2" t="inlineStr">
        <is>
          <t>28PA26/WHT</t>
        </is>
      </c>
      <c r="D21" s="2" t="n">
        <v>8000</v>
      </c>
      <c r="E21" s="3" t="n"/>
      <c r="F21" s="4" t="n">
        <v>11739.386625</v>
      </c>
      <c r="G21" s="3">
        <f>IF(OR(E21="",F21=""),"",E21+F21)</f>
        <v/>
      </c>
      <c r="H21" s="3" t="n">
        <v>13969.87008375</v>
      </c>
      <c r="I21" s="3" t="n">
        <v>34924.675209375</v>
      </c>
      <c r="J21" s="3" t="n">
        <v>89950</v>
      </c>
      <c r="K21" s="3" t="n">
        <v>43085.29411764706</v>
      </c>
      <c r="L21" s="5" t="n">
        <v>0.727531472967438</v>
      </c>
      <c r="M21" s="3" t="n">
        <v>52775.70588235294</v>
      </c>
      <c r="N21" s="5" t="n">
        <v>0.7775607842902316</v>
      </c>
      <c r="O21" s="3" t="n">
        <v>34527.60772058823</v>
      </c>
      <c r="P21" s="5" t="n">
        <v>0.66</v>
      </c>
      <c r="Q21" s="3" t="n">
        <v>93099.99999999999</v>
      </c>
      <c r="R21" s="5" t="n">
        <v>0.8739056216433941</v>
      </c>
      <c r="S21" s="3" t="n">
        <v>98.8</v>
      </c>
      <c r="T21" s="5" t="n">
        <v>0.9660515135193755</v>
      </c>
      <c r="U21" s="7" t="inlineStr">
        <is>
          <t>Falta costo directo (COSTO PRODUCTO) en el archivo original — ya venía como #DIV/0! ahí</t>
        </is>
      </c>
    </row>
    <row r="22">
      <c r="A22" s="2" t="inlineStr">
        <is>
          <t>ANCIENT</t>
        </is>
      </c>
      <c r="B22" s="2" t="inlineStr">
        <is>
          <t>I'M WHITE LARGE RUFFLE PAREO</t>
        </is>
      </c>
      <c r="C22" s="2" t="inlineStr">
        <is>
          <t>28RE25/WHT</t>
        </is>
      </c>
      <c r="D22" s="2" t="n">
        <v>8000</v>
      </c>
      <c r="E22" s="3" t="n"/>
      <c r="F22" s="4" t="n">
        <v>11739.386625</v>
      </c>
      <c r="G22" s="3">
        <f>IF(OR(E22="",F22=""),"",E22+F22)</f>
        <v/>
      </c>
      <c r="H22" s="3" t="n">
        <v>13969.87008375</v>
      </c>
      <c r="I22" s="3" t="n">
        <v>34924.675209375</v>
      </c>
      <c r="J22" s="3" t="n">
        <v>169900</v>
      </c>
      <c r="K22" s="3" t="n">
        <v>81380.67226890755</v>
      </c>
      <c r="L22" s="5" t="n">
        <v>0.8557472395139556</v>
      </c>
      <c r="M22" s="3" t="n">
        <v>99684.18487394958</v>
      </c>
      <c r="N22" s="5" t="n">
        <v>0.8822342115768471</v>
      </c>
      <c r="O22" s="3" t="n">
        <v>34527.60772058823</v>
      </c>
      <c r="P22" s="5" t="n">
        <v>0.66</v>
      </c>
      <c r="Q22" s="3" t="n">
        <v>98000</v>
      </c>
      <c r="R22" s="5" t="n">
        <v>0.8802103405612245</v>
      </c>
      <c r="S22" s="3" t="n">
        <v>104</v>
      </c>
      <c r="T22" s="5" t="n">
        <v>0.9677489378434067</v>
      </c>
      <c r="U22" s="7" t="inlineStr">
        <is>
          <t>Falta costo directo (COSTO PRODUCTO) en el archivo original — ya venía como #DIV/0! ahí</t>
        </is>
      </c>
    </row>
    <row r="23">
      <c r="A23" s="2" t="inlineStr">
        <is>
          <t>ANCIENT</t>
        </is>
      </c>
      <c r="B23" s="2" t="inlineStr">
        <is>
          <t>AMULETO TRIANGLE TOP</t>
        </is>
      </c>
      <c r="C23" s="2" t="inlineStr">
        <is>
          <t>283135/AMLT</t>
        </is>
      </c>
      <c r="D23" s="2" t="n">
        <v>8000</v>
      </c>
      <c r="E23" s="3" t="n">
        <v>30776.65</v>
      </c>
      <c r="F23" s="4" t="n">
        <v>11739.386625</v>
      </c>
      <c r="G23" s="3">
        <f>IF(OR(E23="",F23=""),"",E23+F23)</f>
        <v/>
      </c>
      <c r="H23" s="3" t="n">
        <v>50594.08358375</v>
      </c>
      <c r="I23" s="3" t="n">
        <v>126485.208959375</v>
      </c>
      <c r="J23" s="3" t="n">
        <v>129900</v>
      </c>
      <c r="K23" s="3" t="n">
        <v>62221.00840336135</v>
      </c>
      <c r="L23" s="5" t="n">
        <v>0.3166932244270221</v>
      </c>
      <c r="M23" s="3" t="n">
        <v>76215.27731092437</v>
      </c>
      <c r="N23" s="5" t="n">
        <v>0.4421586048745383</v>
      </c>
      <c r="O23" s="3" t="n">
        <v>125047.1665441176</v>
      </c>
      <c r="P23" s="5" t="n">
        <v>0.6599999999999999</v>
      </c>
      <c r="Q23" s="3" t="n">
        <v>78400</v>
      </c>
      <c r="R23" s="5" t="n">
        <v>0.4577036144770408</v>
      </c>
      <c r="S23" s="3" t="n">
        <v>83.2</v>
      </c>
      <c r="T23" s="5" t="n">
        <v>0.8539971269745879</v>
      </c>
      <c r="U23" s="6" t="n"/>
    </row>
    <row r="24">
      <c r="A24" s="2" t="inlineStr">
        <is>
          <t>ANCIENT</t>
        </is>
      </c>
      <c r="B24" s="2" t="inlineStr">
        <is>
          <t>AMULETO STRAP TIE SIDE BOTTOM</t>
        </is>
      </c>
      <c r="C24" s="2" t="inlineStr">
        <is>
          <t>283236/AMLT</t>
        </is>
      </c>
      <c r="D24" s="2" t="n">
        <v>8000</v>
      </c>
      <c r="E24" s="3" t="n">
        <v>28958.3</v>
      </c>
      <c r="F24" s="4" t="n">
        <v>11739.386625</v>
      </c>
      <c r="G24" s="3">
        <f>IF(OR(E24="",F24=""),"",E24+F24)</f>
        <v/>
      </c>
      <c r="H24" s="3" t="n">
        <v>48430.24708375</v>
      </c>
      <c r="I24" s="3" t="n">
        <v>121075.617709375</v>
      </c>
      <c r="J24" s="3" t="n">
        <v>119900</v>
      </c>
      <c r="K24" s="3" t="n">
        <v>57431.09243697478</v>
      </c>
      <c r="L24" s="5" t="n">
        <v>0.2913649227609263</v>
      </c>
      <c r="M24" s="3" t="n">
        <v>70348.05042016806</v>
      </c>
      <c r="N24" s="5" t="n">
        <v>0.4214809595727987</v>
      </c>
      <c r="O24" s="3" t="n">
        <v>119699.0783088235</v>
      </c>
      <c r="P24" s="5" t="n">
        <v>0.66</v>
      </c>
      <c r="Q24" s="3" t="n">
        <v>78400</v>
      </c>
      <c r="R24" s="5" t="n">
        <v>0.4808968542729591</v>
      </c>
      <c r="S24" s="3" t="n">
        <v>83.2</v>
      </c>
      <c r="T24" s="5" t="n">
        <v>0.8602414607657967</v>
      </c>
      <c r="U24" s="6" t="n"/>
    </row>
    <row r="25">
      <c r="A25" s="2" t="inlineStr">
        <is>
          <t>ANCIENT</t>
        </is>
      </c>
      <c r="B25" s="2" t="inlineStr">
        <is>
          <t>AMULETO SPORTY ONE PIECE</t>
        </is>
      </c>
      <c r="C25" s="2" t="inlineStr">
        <is>
          <t>283356/AMLT</t>
        </is>
      </c>
      <c r="D25" s="2" t="n">
        <v>8000</v>
      </c>
      <c r="E25" s="3" t="n">
        <v>53036.575</v>
      </c>
      <c r="F25" s="4" t="n">
        <v>11739.386625</v>
      </c>
      <c r="G25" s="3">
        <f>IF(OR(E25="",F25=""),"",E25+F25)</f>
        <v/>
      </c>
      <c r="H25" s="3" t="n">
        <v>77083.39433374999</v>
      </c>
      <c r="I25" s="3" t="n">
        <v>192708.485834375</v>
      </c>
      <c r="J25" s="3" t="n">
        <v>199900</v>
      </c>
      <c r="K25" s="3" t="n">
        <v>95750.42016806723</v>
      </c>
      <c r="L25" s="5" t="n">
        <v>0.3234916200753886</v>
      </c>
      <c r="M25" s="3" t="n">
        <v>117285.8655462185</v>
      </c>
      <c r="N25" s="5" t="n">
        <v>0.4477087130377707</v>
      </c>
      <c r="O25" s="3" t="n">
        <v>190517.5341911764</v>
      </c>
      <c r="P25" s="5" t="n">
        <v>0.6599999999999999</v>
      </c>
      <c r="Q25" s="3" t="n">
        <v>129850</v>
      </c>
      <c r="R25" s="5" t="n">
        <v>0.5011477733923758</v>
      </c>
      <c r="S25" s="3" t="n">
        <v>137.8</v>
      </c>
      <c r="T25" s="5" t="n">
        <v>0.8656936312979474</v>
      </c>
      <c r="U25" s="6" t="n"/>
    </row>
    <row r="26">
      <c r="A26" s="2" t="inlineStr">
        <is>
          <t>ANCIENT</t>
        </is>
      </c>
      <c r="B26" s="2" t="inlineStr">
        <is>
          <t>I'M BLUE KNOTTED BRALETTE TOP</t>
        </is>
      </c>
      <c r="C26" s="2" t="inlineStr">
        <is>
          <t>283179/DBLU</t>
        </is>
      </c>
      <c r="D26" s="2" t="n">
        <v>8000</v>
      </c>
      <c r="E26" s="3" t="n">
        <v>41966.0625</v>
      </c>
      <c r="F26" s="4" t="n">
        <v>11739.386625</v>
      </c>
      <c r="G26" s="3">
        <f>IF(OR(E26="",F26=""),"",E26+F26)</f>
        <v/>
      </c>
      <c r="H26" s="3" t="n">
        <v>63909.48445875</v>
      </c>
      <c r="I26" s="3" t="n">
        <v>159773.711146875</v>
      </c>
      <c r="J26" s="3" t="n">
        <v>159900</v>
      </c>
      <c r="K26" s="3" t="n">
        <v>76590.75630252101</v>
      </c>
      <c r="L26" s="5" t="n">
        <v>0.2987998589167572</v>
      </c>
      <c r="M26" s="3" t="n">
        <v>93816.95798319328</v>
      </c>
      <c r="N26" s="5" t="n">
        <v>0.4275507298518356</v>
      </c>
      <c r="O26" s="3" t="n">
        <v>157957.2033088235</v>
      </c>
      <c r="P26" s="5" t="n">
        <v>0.66</v>
      </c>
      <c r="Q26" s="3" t="n">
        <v>93099.99999999999</v>
      </c>
      <c r="R26" s="5" t="n">
        <v>0.4231423294844253</v>
      </c>
      <c r="S26" s="3" t="n">
        <v>98.8</v>
      </c>
      <c r="T26" s="5" t="n">
        <v>0.8446921656304223</v>
      </c>
      <c r="U26" s="6" t="n"/>
    </row>
    <row r="27">
      <c r="A27" s="2" t="inlineStr">
        <is>
          <t>ANCIENT</t>
        </is>
      </c>
      <c r="B27" s="2" t="inlineStr">
        <is>
          <t>I'M BLUE CHEEKY BOTTOM</t>
        </is>
      </c>
      <c r="C27" s="2" t="inlineStr">
        <is>
          <t>283221/DBLU</t>
        </is>
      </c>
      <c r="D27" s="2" t="n">
        <v>8000</v>
      </c>
      <c r="E27" s="3" t="n">
        <v>27145.125</v>
      </c>
      <c r="F27" s="4" t="n">
        <v>11739.386625</v>
      </c>
      <c r="G27" s="3">
        <f>IF(OR(E27="",F27=""),"",E27+F27)</f>
        <v/>
      </c>
      <c r="H27" s="3" t="n">
        <v>46272.56883375</v>
      </c>
      <c r="I27" s="3" t="n">
        <v>115681.422084375</v>
      </c>
      <c r="J27" s="3" t="n">
        <v>119900</v>
      </c>
      <c r="K27" s="3" t="n">
        <v>57431.09243697478</v>
      </c>
      <c r="L27" s="5" t="n">
        <v>0.322936235843466</v>
      </c>
      <c r="M27" s="3" t="n">
        <v>70348.05042016806</v>
      </c>
      <c r="N27" s="5" t="n">
        <v>0.4472553056871607</v>
      </c>
      <c r="O27" s="3" t="n">
        <v>114366.2106617647</v>
      </c>
      <c r="P27" s="5" t="n">
        <v>0.6599999999999999</v>
      </c>
      <c r="Q27" s="3" t="n">
        <v>78400</v>
      </c>
      <c r="R27" s="5" t="n">
        <v>0.5040240864158163</v>
      </c>
      <c r="S27" s="3" t="n">
        <v>83.2</v>
      </c>
      <c r="T27" s="5" t="n">
        <v>0.8664680232657967</v>
      </c>
      <c r="U27" s="6" t="n"/>
    </row>
    <row r="28">
      <c r="A28" s="2" t="inlineStr">
        <is>
          <t>ANCIENT</t>
        </is>
      </c>
      <c r="B28" s="2" t="inlineStr">
        <is>
          <t>I'M BLUE ASYMMETRIC ONE SHOULDER</t>
        </is>
      </c>
      <c r="C28" s="2" t="inlineStr">
        <is>
          <t>283377/DBLU</t>
        </is>
      </c>
      <c r="D28" s="2" t="n">
        <v>8000</v>
      </c>
      <c r="E28" s="3" t="n">
        <v>44962.0875</v>
      </c>
      <c r="F28" s="4" t="n">
        <v>11739.386625</v>
      </c>
      <c r="G28" s="3">
        <f>IF(OR(E28="",F28=""),"",E28+F28)</f>
        <v/>
      </c>
      <c r="H28" s="3" t="n">
        <v>67474.75420875</v>
      </c>
      <c r="I28" s="3" t="n">
        <v>168686.885521875</v>
      </c>
      <c r="J28" s="3" t="n">
        <v>199900</v>
      </c>
      <c r="K28" s="3" t="n">
        <v>95750.42016806723</v>
      </c>
      <c r="L28" s="5" t="n">
        <v>0.4078201012019168</v>
      </c>
      <c r="M28" s="3" t="n">
        <v>117285.8655462185</v>
      </c>
      <c r="N28" s="5" t="n">
        <v>0.5165532192567925</v>
      </c>
      <c r="O28" s="3" t="n">
        <v>166769.0415441176</v>
      </c>
      <c r="P28" s="5" t="n">
        <v>0.6599999999999999</v>
      </c>
      <c r="Q28" s="3" t="n">
        <v>137200</v>
      </c>
      <c r="R28" s="5" t="n">
        <v>0.586723949526239</v>
      </c>
      <c r="S28" s="3" t="n">
        <v>145.6</v>
      </c>
      <c r="T28" s="5" t="n">
        <v>0.8887333710262951</v>
      </c>
      <c r="U28" s="6" t="n"/>
    </row>
    <row r="29">
      <c r="A29" s="2" t="inlineStr">
        <is>
          <t>ANCIENT</t>
        </is>
      </c>
      <c r="B29" s="2" t="inlineStr">
        <is>
          <t>AMULETO PAREO</t>
        </is>
      </c>
      <c r="C29" s="2" t="inlineStr">
        <is>
          <t>28RE22/AMLT</t>
        </is>
      </c>
      <c r="D29" s="2" t="n">
        <v>8000</v>
      </c>
      <c r="E29" s="3" t="n">
        <v>31578.17142857143</v>
      </c>
      <c r="F29" s="4" t="n">
        <v>11739.386625</v>
      </c>
      <c r="G29" s="3">
        <f>IF(OR(E29="",F29=""),"",E29+F29)</f>
        <v/>
      </c>
      <c r="H29" s="3" t="n">
        <v>51547.89408374999</v>
      </c>
      <c r="I29" s="3" t="n">
        <v>128869.735209375</v>
      </c>
      <c r="J29" s="3" t="n">
        <v>139900</v>
      </c>
      <c r="K29" s="3" t="n">
        <v>67010.9243697479</v>
      </c>
      <c r="L29" s="5" t="n">
        <v>0.3535746826210451</v>
      </c>
      <c r="M29" s="3" t="n">
        <v>82082.50420168067</v>
      </c>
      <c r="N29" s="5" t="n">
        <v>0.4722680737525004</v>
      </c>
      <c r="O29" s="3" t="n">
        <v>127404.5825105042</v>
      </c>
      <c r="P29" s="5" t="n">
        <v>0.66</v>
      </c>
      <c r="Q29" s="3" t="n">
        <v>88200</v>
      </c>
      <c r="R29" s="5" t="n">
        <v>0.5088712238824101</v>
      </c>
      <c r="S29" s="3" t="n">
        <v>93.60000000000001</v>
      </c>
      <c r="T29" s="5" t="n">
        <v>0.867773021814495</v>
      </c>
      <c r="U29" s="6" t="n"/>
    </row>
    <row r="30">
      <c r="A30" s="2" t="inlineStr">
        <is>
          <t>ANCIENT</t>
        </is>
      </c>
      <c r="B30" s="2" t="inlineStr">
        <is>
          <t>AMULETO HEADKERCHIEF</t>
        </is>
      </c>
      <c r="C30" s="2" t="inlineStr">
        <is>
          <t>28KE21/AMLT</t>
        </is>
      </c>
      <c r="D30" s="2" t="n">
        <v>8000</v>
      </c>
      <c r="E30" s="3" t="n">
        <v>19794.12</v>
      </c>
      <c r="F30" s="4" t="n">
        <v>3159.75</v>
      </c>
      <c r="G30" s="3">
        <f>IF(OR(E30="",F30=""),"",E30+F30)</f>
        <v/>
      </c>
      <c r="H30" s="3" t="n">
        <v>27315.1053</v>
      </c>
      <c r="I30" s="3" t="n">
        <v>68287.76324999999</v>
      </c>
      <c r="J30" s="3" t="n">
        <v>59900</v>
      </c>
      <c r="K30" s="3" t="n">
        <v>28691.59663865546</v>
      </c>
      <c r="L30" s="5" t="n">
        <v>0.1999793427642562</v>
      </c>
      <c r="M30" s="3" t="n">
        <v>35144.68907563025</v>
      </c>
      <c r="N30" s="5" t="n">
        <v>0.3468751437634289</v>
      </c>
      <c r="O30" s="3" t="n">
        <v>67511.38235294117</v>
      </c>
      <c r="P30" s="5" t="n">
        <v>0.66</v>
      </c>
      <c r="Q30" s="3" t="n">
        <v>39200</v>
      </c>
      <c r="R30" s="5" t="n">
        <v>0.4144420918367347</v>
      </c>
      <c r="S30" s="3" t="n">
        <v>41.6</v>
      </c>
      <c r="T30" s="5" t="n">
        <v>0.842349793956044</v>
      </c>
      <c r="U30" s="6" t="n"/>
    </row>
    <row r="31">
      <c r="A31" s="2" t="inlineStr">
        <is>
          <t>ANCIENT</t>
        </is>
      </c>
      <c r="B31" s="2" t="inlineStr">
        <is>
          <t>AMULETO TOWEL</t>
        </is>
      </c>
      <c r="C31" s="2" t="inlineStr">
        <is>
          <t>28TO27/AMLT</t>
        </is>
      </c>
      <c r="D31" s="2" t="n">
        <v>8000</v>
      </c>
      <c r="E31" s="3" t="n">
        <v>36124.62</v>
      </c>
      <c r="F31" s="4" t="n">
        <v>3159.75</v>
      </c>
      <c r="G31" s="3">
        <f>IF(OR(E31="",F31=""),"",E31+F31)</f>
        <v/>
      </c>
      <c r="H31" s="3" t="n">
        <v>46748.4003</v>
      </c>
      <c r="I31" s="3" t="n">
        <v>116871.00075</v>
      </c>
      <c r="J31" s="3" t="n">
        <v>94000</v>
      </c>
      <c r="K31" s="3" t="n">
        <v>45025.21008403361</v>
      </c>
      <c r="L31" s="5" t="n">
        <v>0.1275027939529675</v>
      </c>
      <c r="M31" s="3" t="n">
        <v>55151.93277310924</v>
      </c>
      <c r="N31" s="5" t="n">
        <v>0.2877063771887589</v>
      </c>
      <c r="O31" s="3" t="n">
        <v>115542.2647058823</v>
      </c>
      <c r="P31" s="5" t="n">
        <v>0.66</v>
      </c>
      <c r="Q31" s="3" t="n">
        <v>83299.99999999999</v>
      </c>
      <c r="R31" s="5" t="n">
        <v>0.528398919567827</v>
      </c>
      <c r="S31" s="3" t="n">
        <v>88.40000000000001</v>
      </c>
      <c r="T31" s="5" t="n">
        <v>0.8730304783451842</v>
      </c>
      <c r="U31" s="6" t="n"/>
    </row>
    <row r="32">
      <c r="A32" s="2" t="inlineStr">
        <is>
          <t>ANCIENT</t>
        </is>
      </c>
      <c r="B32" s="2" t="inlineStr">
        <is>
          <t>AMULETO MESH SHIRT</t>
        </is>
      </c>
      <c r="C32" s="2" t="inlineStr">
        <is>
          <t>28CA36/AMLT</t>
        </is>
      </c>
      <c r="D32" s="2" t="n">
        <v>8000</v>
      </c>
      <c r="E32" s="3" t="n">
        <v>32455.55913978495</v>
      </c>
      <c r="F32" s="4" t="n">
        <v>11739.386625</v>
      </c>
      <c r="G32" s="3">
        <f>IF(OR(E32="",F32=""),"",E32+F32)</f>
        <v/>
      </c>
      <c r="H32" s="3" t="n">
        <v>52591.98546009409</v>
      </c>
      <c r="I32" s="3" t="n">
        <v>131479.9636502352</v>
      </c>
      <c r="J32" s="3" t="n">
        <v>129900</v>
      </c>
      <c r="K32" s="3" t="n">
        <v>62221.00840336135</v>
      </c>
      <c r="L32" s="5" t="n">
        <v>0.2897102297301016</v>
      </c>
      <c r="M32" s="3" t="n">
        <v>76215.27731092437</v>
      </c>
      <c r="N32" s="5" t="n">
        <v>0.4201300930194184</v>
      </c>
      <c r="O32" s="3" t="n">
        <v>129985.1346023087</v>
      </c>
      <c r="P32" s="5" t="n">
        <v>0.66</v>
      </c>
      <c r="Q32" s="3" t="n">
        <v>95549.99999999999</v>
      </c>
      <c r="R32" s="5" t="n">
        <v>0.5374678622209842</v>
      </c>
      <c r="S32" s="3" t="n">
        <v>101.4</v>
      </c>
      <c r="T32" s="5" t="n">
        <v>0.8754721167518035</v>
      </c>
      <c r="U32" s="6" t="n"/>
    </row>
    <row r="33">
      <c r="A33" s="2" t="inlineStr">
        <is>
          <t>ANCIENT</t>
        </is>
      </c>
      <c r="B33" s="2" t="inlineStr">
        <is>
          <t>AMULETO WHITE T-SHIRT</t>
        </is>
      </c>
      <c r="C33" s="2" t="inlineStr">
        <is>
          <t>28TSH20/AMWH</t>
        </is>
      </c>
      <c r="D33" s="2" t="n">
        <v>8000</v>
      </c>
      <c r="E33" s="3" t="n">
        <v>28862.74509803922</v>
      </c>
      <c r="F33" s="4" t="n">
        <v>11739.386625</v>
      </c>
      <c r="G33" s="3">
        <f>IF(OR(E33="",F33=""),"",E33+F33)</f>
        <v/>
      </c>
      <c r="H33" s="3" t="n">
        <v>48316.53675041666</v>
      </c>
      <c r="I33" s="3" t="n">
        <v>120791.3418760417</v>
      </c>
      <c r="J33" s="3" t="n">
        <v>129900</v>
      </c>
      <c r="K33" s="3" t="n">
        <v>62221.00840336135</v>
      </c>
      <c r="L33" s="5" t="n">
        <v>0.3474530104072409</v>
      </c>
      <c r="M33" s="3" t="n">
        <v>76215.27731092437</v>
      </c>
      <c r="N33" s="5" t="n">
        <v>0.4672704324436083</v>
      </c>
      <c r="O33" s="3" t="n">
        <v>119418.0344795271</v>
      </c>
      <c r="P33" s="5" t="n">
        <v>0.6599999999999999</v>
      </c>
      <c r="Q33" s="3" t="n">
        <v>83299.99999999999</v>
      </c>
      <c r="R33" s="5" t="n">
        <v>0.512579451103971</v>
      </c>
      <c r="S33" s="3" t="n">
        <v>88.40000000000001</v>
      </c>
      <c r="T33" s="5" t="n">
        <v>0.8687713906818384</v>
      </c>
      <c r="U33" s="6" t="n"/>
    </row>
    <row r="34">
      <c r="A34" s="2" t="inlineStr">
        <is>
          <t>ANCIENT</t>
        </is>
      </c>
      <c r="B34" s="2" t="inlineStr">
        <is>
          <t>AMULETO BLACK T-SHIRT</t>
        </is>
      </c>
      <c r="C34" s="2" t="inlineStr">
        <is>
          <t>28TSH20/AMBL</t>
        </is>
      </c>
      <c r="D34" s="2" t="n">
        <v>8000</v>
      </c>
      <c r="E34" s="3" t="n">
        <v>28862.74509803922</v>
      </c>
      <c r="F34" s="4" t="n">
        <v>11739.386625</v>
      </c>
      <c r="G34" s="3">
        <f>IF(OR(E34="",F34=""),"",E34+F34)</f>
        <v/>
      </c>
      <c r="H34" s="3" t="n">
        <v>48316.53675041666</v>
      </c>
      <c r="I34" s="3" t="n">
        <v>120791.3418760417</v>
      </c>
      <c r="J34" s="3" t="n">
        <v>129900</v>
      </c>
      <c r="K34" s="3" t="n">
        <v>62221.00840336135</v>
      </c>
      <c r="L34" s="5" t="n">
        <v>0.3474530104072409</v>
      </c>
      <c r="M34" s="3" t="n">
        <v>76215.27731092437</v>
      </c>
      <c r="N34" s="5" t="n">
        <v>0.4672704324436083</v>
      </c>
      <c r="O34" s="3" t="n">
        <v>119418.0344795271</v>
      </c>
      <c r="P34" s="5" t="n">
        <v>0.6599999999999999</v>
      </c>
      <c r="Q34" s="3" t="n">
        <v>83299.99999999999</v>
      </c>
      <c r="R34" s="5" t="n">
        <v>0.512579451103971</v>
      </c>
      <c r="S34" s="3" t="n">
        <v>88.40000000000001</v>
      </c>
      <c r="T34" s="5" t="n">
        <v>0.8687713906818384</v>
      </c>
      <c r="U34" s="6" t="n"/>
    </row>
    <row r="35">
      <c r="A35" s="2" t="inlineStr">
        <is>
          <t>ANCIENT</t>
        </is>
      </c>
      <c r="B35" s="2" t="inlineStr">
        <is>
          <t>AMULETO DRAPED MESH DRESS</t>
        </is>
      </c>
      <c r="C35" s="2" t="inlineStr">
        <is>
          <t>28VE38/AMLT</t>
        </is>
      </c>
      <c r="D35" s="2" t="n">
        <v>8000</v>
      </c>
      <c r="E35" s="3" t="n">
        <v>76119.08333333333</v>
      </c>
      <c r="F35" s="4" t="n">
        <v>11739.386625</v>
      </c>
      <c r="G35" s="3">
        <f>IF(OR(E35="",F35=""),"",E35+F35)</f>
        <v/>
      </c>
      <c r="H35" s="3" t="n">
        <v>104551.5792504167</v>
      </c>
      <c r="I35" s="3" t="n">
        <v>261378.9481260416</v>
      </c>
      <c r="J35" s="3" t="n">
        <v>219900</v>
      </c>
      <c r="K35" s="3" t="n">
        <v>105330.2521008403</v>
      </c>
      <c r="L35" s="5" t="n">
        <v>0.165876201699204</v>
      </c>
      <c r="M35" s="3" t="n">
        <v>129020.3193277311</v>
      </c>
      <c r="N35" s="5" t="n">
        <v>0.3190338512869468</v>
      </c>
      <c r="O35" s="3" t="n">
        <v>258407.2645833333</v>
      </c>
      <c r="P35" s="5" t="n">
        <v>0.66</v>
      </c>
      <c r="Q35" s="3" t="n">
        <v>147000</v>
      </c>
      <c r="R35" s="5" t="n">
        <v>0.4023233336167801</v>
      </c>
      <c r="S35" s="3" t="n">
        <v>156</v>
      </c>
      <c r="T35" s="5" t="n">
        <v>0.8390870513583639</v>
      </c>
      <c r="U35" s="6" t="n"/>
    </row>
    <row r="36">
      <c r="A36" s="2" t="inlineStr">
        <is>
          <t>ANCIENT</t>
        </is>
      </c>
      <c r="B36" s="2" t="inlineStr">
        <is>
          <t>AMULETO MESH PANTS</t>
        </is>
      </c>
      <c r="C36" s="2" t="inlineStr">
        <is>
          <t>28PA23/AMLT</t>
        </is>
      </c>
      <c r="D36" s="2" t="n">
        <v>8000</v>
      </c>
      <c r="E36" s="3" t="n">
        <v>46514.53</v>
      </c>
      <c r="F36" s="4" t="n">
        <v>11739.386625</v>
      </c>
      <c r="G36" s="3">
        <f>IF(OR(E36="",F36=""),"",E36+F36)</f>
        <v/>
      </c>
      <c r="H36" s="3" t="n">
        <v>69322.16078374999</v>
      </c>
      <c r="I36" s="3" t="n">
        <v>173305.401959375</v>
      </c>
      <c r="J36" s="3" t="n">
        <v>179900</v>
      </c>
      <c r="K36" s="3" t="n">
        <v>86170.58823529411</v>
      </c>
      <c r="L36" s="5" t="n">
        <v>0.3239698391528432</v>
      </c>
      <c r="M36" s="3" t="n">
        <v>105551.4117647059</v>
      </c>
      <c r="N36" s="5" t="n">
        <v>0.4480991239145239</v>
      </c>
      <c r="O36" s="3" t="n">
        <v>171335.0488970588</v>
      </c>
      <c r="P36" s="5" t="n">
        <v>0.66</v>
      </c>
      <c r="Q36" s="3" t="n">
        <v>117600</v>
      </c>
      <c r="R36" s="5" t="n">
        <v>0.5046435661139456</v>
      </c>
      <c r="S36" s="3" t="n">
        <v>124.8</v>
      </c>
      <c r="T36" s="5" t="n">
        <v>0.8666348062614468</v>
      </c>
      <c r="U36" s="6" t="n"/>
    </row>
    <row r="37">
      <c r="A37" s="2" t="inlineStr">
        <is>
          <t>ANCIENT</t>
        </is>
      </c>
      <c r="B37" s="2" t="inlineStr">
        <is>
          <t>I'M BLUE CLASSIC JEAN</t>
        </is>
      </c>
      <c r="C37" s="2" t="inlineStr">
        <is>
          <t>28PA27/DBLU</t>
        </is>
      </c>
      <c r="D37" s="2" t="n">
        <v>8000</v>
      </c>
      <c r="E37" s="3" t="n"/>
      <c r="F37" s="4" t="n">
        <v>11739.386625</v>
      </c>
      <c r="G37" s="3">
        <f>IF(OR(E37="",F37=""),"",E37+F37)</f>
        <v/>
      </c>
      <c r="H37" s="3" t="n">
        <v>13969.87008375</v>
      </c>
      <c r="I37" s="3" t="n">
        <v>34924.675209375</v>
      </c>
      <c r="J37" s="3" t="n"/>
      <c r="K37" s="3" t="n">
        <v>0</v>
      </c>
      <c r="L37" s="5" t="e">
        <v>#DIV/0!</v>
      </c>
      <c r="M37" s="3" t="n">
        <v>0</v>
      </c>
      <c r="N37" s="5" t="e">
        <v>#DIV/0!</v>
      </c>
      <c r="O37" s="3" t="n">
        <v>34527.60772058823</v>
      </c>
      <c r="P37" s="5" t="n">
        <v>0.66</v>
      </c>
      <c r="Q37" s="3" t="n">
        <v>147000</v>
      </c>
      <c r="R37" s="5" t="n">
        <v>0.9201402270408164</v>
      </c>
      <c r="S37" s="3" t="n">
        <v>156</v>
      </c>
      <c r="T37" s="5" t="n">
        <v>0.9784992918956044</v>
      </c>
      <c r="U37" s="7" t="inlineStr">
        <is>
          <t>Falta costo directo (COSTO PRODUCTO) en el archivo original — ya venía como #DIV/0! ahí</t>
        </is>
      </c>
    </row>
    <row r="38">
      <c r="A38" s="2" t="inlineStr">
        <is>
          <t>ANCIENT</t>
        </is>
      </c>
      <c r="B38" s="2" t="inlineStr">
        <is>
          <t>I'M BLUE DENIM SKORT</t>
        </is>
      </c>
      <c r="C38" s="2" t="inlineStr">
        <is>
          <t>28FA31/DBLU</t>
        </is>
      </c>
      <c r="D38" s="2" t="n">
        <v>8000</v>
      </c>
      <c r="E38" s="3" t="n"/>
      <c r="F38" s="4" t="n">
        <v>11739.386625</v>
      </c>
      <c r="G38" s="3">
        <f>IF(OR(E38="",F38=""),"",E38+F38)</f>
        <v/>
      </c>
      <c r="H38" s="3" t="n">
        <v>13969.87008375</v>
      </c>
      <c r="I38" s="3" t="n">
        <v>34924.675209375</v>
      </c>
      <c r="J38" s="3" t="n"/>
      <c r="K38" s="3" t="n">
        <v>0</v>
      </c>
      <c r="L38" s="5" t="e">
        <v>#DIV/0!</v>
      </c>
      <c r="M38" s="3" t="n">
        <v>0</v>
      </c>
      <c r="N38" s="5" t="e">
        <v>#DIV/0!</v>
      </c>
      <c r="O38" s="3" t="n">
        <v>34527.60772058823</v>
      </c>
      <c r="P38" s="5" t="n">
        <v>0.66</v>
      </c>
      <c r="Q38" s="3" t="n">
        <v>107800</v>
      </c>
      <c r="R38" s="5" t="n">
        <v>0.8911003096011132</v>
      </c>
      <c r="S38" s="3" t="n">
        <v>114.4</v>
      </c>
      <c r="T38" s="5" t="n">
        <v>0.9706808525849151</v>
      </c>
      <c r="U38" s="7" t="inlineStr">
        <is>
          <t>Falta costo directo (COSTO PRODUCTO) en el archivo original — ya venía como #DIV/0! ahí</t>
        </is>
      </c>
    </row>
    <row r="39">
      <c r="A39" s="2" t="inlineStr">
        <is>
          <t>ANCIENT</t>
        </is>
      </c>
      <c r="B39" s="2" t="inlineStr">
        <is>
          <t>AMULETO SLEEP SHORT SLEEVELESS SHIRT</t>
        </is>
      </c>
      <c r="C39" s="2" t="inlineStr">
        <is>
          <t>284125/AMLT</t>
        </is>
      </c>
      <c r="D39" s="2" t="n">
        <v>8000</v>
      </c>
      <c r="E39" s="3" t="n">
        <v>24439.14166666665</v>
      </c>
      <c r="F39" s="4" t="n">
        <v>11739.386625</v>
      </c>
      <c r="G39" s="3">
        <f>IF(OR(E39="",F39=""),"",E39+F39)</f>
        <v/>
      </c>
      <c r="H39" s="3" t="n">
        <v>43052.44866708331</v>
      </c>
      <c r="I39" s="3" t="n">
        <v>107631.1216677083</v>
      </c>
      <c r="J39" s="3" t="n">
        <v>94950</v>
      </c>
      <c r="K39" s="3" t="n">
        <v>45480.25210084033</v>
      </c>
      <c r="L39" s="5" t="n">
        <v>0.204522257012771</v>
      </c>
      <c r="M39" s="3" t="n">
        <v>55709.31932773109</v>
      </c>
      <c r="N39" s="5" t="n">
        <v>0.3505839107666563</v>
      </c>
      <c r="O39" s="3" t="n">
        <v>106407.4361519607</v>
      </c>
      <c r="P39" s="5" t="n">
        <v>0.6599999999999999</v>
      </c>
      <c r="Q39" s="3" t="n">
        <v>41649.99999999999</v>
      </c>
      <c r="R39" s="5" t="n">
        <v>0.1313678681472592</v>
      </c>
      <c r="S39" s="3" t="n">
        <v>44.2</v>
      </c>
      <c r="T39" s="5" t="n">
        <v>0.7661375029627236</v>
      </c>
      <c r="U39" s="6" t="n"/>
    </row>
    <row r="40">
      <c r="A40" s="2" t="inlineStr">
        <is>
          <t>ANCIENT</t>
        </is>
      </c>
      <c r="B40" s="2" t="inlineStr">
        <is>
          <t>AMULETO SLEEP PANTS</t>
        </is>
      </c>
      <c r="C40" s="2" t="inlineStr">
        <is>
          <t>284323/AMLT</t>
        </is>
      </c>
      <c r="D40" s="2" t="n">
        <v>8000</v>
      </c>
      <c r="E40" s="3" t="n">
        <v>24439.14166666665</v>
      </c>
      <c r="F40" s="4" t="n">
        <v>11739.386625</v>
      </c>
      <c r="G40" s="3">
        <f>IF(OR(E40="",F40=""),"",E40+F40)</f>
        <v/>
      </c>
      <c r="H40" s="3" t="n">
        <v>43052.44866708331</v>
      </c>
      <c r="I40" s="3" t="n">
        <v>107631.1216677083</v>
      </c>
      <c r="J40" s="3" t="n">
        <v>94950</v>
      </c>
      <c r="K40" s="3" t="n">
        <v>45480.25210084033</v>
      </c>
      <c r="L40" s="5" t="n">
        <v>0.204522257012771</v>
      </c>
      <c r="M40" s="3" t="n">
        <v>55709.31932773109</v>
      </c>
      <c r="N40" s="5" t="n">
        <v>0.3505839107666563</v>
      </c>
      <c r="O40" s="3" t="n">
        <v>106407.4361519607</v>
      </c>
      <c r="P40" s="5" t="n">
        <v>0.6599999999999999</v>
      </c>
      <c r="Q40" s="3" t="n">
        <v>44100</v>
      </c>
      <c r="R40" s="5" t="n">
        <v>0.179625208805745</v>
      </c>
      <c r="S40" s="3" t="n">
        <v>46.8</v>
      </c>
      <c r="T40" s="5" t="n">
        <v>0.7791298639092391</v>
      </c>
      <c r="U40" s="6" t="n"/>
    </row>
    <row r="41">
      <c r="A41" s="2" t="inlineStr">
        <is>
          <t>ANCIENT</t>
        </is>
      </c>
      <c r="B41" s="2" t="inlineStr">
        <is>
          <t>MÍSTICA TRIANGLE TOP</t>
        </is>
      </c>
      <c r="C41" s="2" t="inlineStr">
        <is>
          <t>283135/MIST</t>
        </is>
      </c>
      <c r="D41" s="2" t="n">
        <v>8000</v>
      </c>
      <c r="E41" s="3" t="n">
        <v>30776.65</v>
      </c>
      <c r="F41" s="4" t="n">
        <v>11739.386625</v>
      </c>
      <c r="G41" s="3">
        <f>IF(OR(E41="",F41=""),"",E41+F41)</f>
        <v/>
      </c>
      <c r="H41" s="3" t="n">
        <v>50594.08358375</v>
      </c>
      <c r="I41" s="3" t="n">
        <v>126485.208959375</v>
      </c>
      <c r="J41" s="3" t="n">
        <v>129900</v>
      </c>
      <c r="K41" s="3" t="n">
        <v>62221.00840336135</v>
      </c>
      <c r="L41" s="5" t="n">
        <v>0.3166932244270221</v>
      </c>
      <c r="M41" s="3" t="n">
        <v>76215.27731092437</v>
      </c>
      <c r="N41" s="5" t="n">
        <v>0.4421586048745383</v>
      </c>
      <c r="O41" s="3" t="n">
        <v>125047.1665441176</v>
      </c>
      <c r="P41" s="5" t="n">
        <v>0.6599999999999999</v>
      </c>
      <c r="Q41" s="3" t="n">
        <v>78400</v>
      </c>
      <c r="R41" s="5" t="n">
        <v>0.4577036144770408</v>
      </c>
      <c r="S41" s="3" t="n">
        <v>83.2</v>
      </c>
      <c r="T41" s="5" t="n">
        <v>0.8539971269745879</v>
      </c>
      <c r="U41" s="6" t="n"/>
    </row>
    <row r="42">
      <c r="A42" s="2" t="inlineStr">
        <is>
          <t>ANCIENT</t>
        </is>
      </c>
      <c r="B42" s="2" t="inlineStr">
        <is>
          <t>MÍSTICA STRAP TIE SIDE BOTTOM</t>
        </is>
      </c>
      <c r="C42" s="2" t="inlineStr">
        <is>
          <t>283236/MIST</t>
        </is>
      </c>
      <c r="D42" s="2" t="n">
        <v>8000</v>
      </c>
      <c r="E42" s="3" t="n">
        <v>28958.3</v>
      </c>
      <c r="F42" s="4" t="n">
        <v>11739.386625</v>
      </c>
      <c r="G42" s="3">
        <f>IF(OR(E42="",F42=""),"",E42+F42)</f>
        <v/>
      </c>
      <c r="H42" s="3" t="n">
        <v>48430.24708375</v>
      </c>
      <c r="I42" s="3" t="n">
        <v>121075.617709375</v>
      </c>
      <c r="J42" s="3" t="n">
        <v>119900</v>
      </c>
      <c r="K42" s="3" t="n">
        <v>57431.09243697478</v>
      </c>
      <c r="L42" s="5" t="n">
        <v>0.2913649227609263</v>
      </c>
      <c r="M42" s="3" t="n">
        <v>70348.05042016806</v>
      </c>
      <c r="N42" s="5" t="n">
        <v>0.4214809595727987</v>
      </c>
      <c r="O42" s="3" t="n">
        <v>119699.0783088235</v>
      </c>
      <c r="P42" s="5" t="n">
        <v>0.66</v>
      </c>
      <c r="Q42" s="3" t="n">
        <v>78400</v>
      </c>
      <c r="R42" s="5" t="n">
        <v>0.4808968542729591</v>
      </c>
      <c r="S42" s="3" t="n">
        <v>83.2</v>
      </c>
      <c r="T42" s="5" t="n">
        <v>0.8602414607657967</v>
      </c>
      <c r="U42" s="6" t="n"/>
    </row>
    <row r="43">
      <c r="A43" s="2" t="inlineStr">
        <is>
          <t>ANCIENT</t>
        </is>
      </c>
      <c r="B43" s="2" t="inlineStr">
        <is>
          <t>MÍSTICA V NECK BRALETTE TOP</t>
        </is>
      </c>
      <c r="C43" s="2" t="inlineStr">
        <is>
          <t>283154/MIST</t>
        </is>
      </c>
      <c r="D43" s="2" t="n">
        <v>8000</v>
      </c>
      <c r="E43" s="3" t="n">
        <v>35406.0625</v>
      </c>
      <c r="F43" s="4" t="n">
        <v>11739.386625</v>
      </c>
      <c r="G43" s="3">
        <f>IF(OR(E43="",F43=""),"",E43+F43)</f>
        <v/>
      </c>
      <c r="H43" s="3" t="n">
        <v>56103.08445875</v>
      </c>
      <c r="I43" s="3" t="n">
        <v>140257.711146875</v>
      </c>
      <c r="J43" s="3" t="n">
        <v>139900</v>
      </c>
      <c r="K43" s="3" t="n">
        <v>67010.9243697479</v>
      </c>
      <c r="L43" s="5" t="n">
        <v>0.2964512940477534</v>
      </c>
      <c r="M43" s="3" t="n">
        <v>82082.50420168067</v>
      </c>
      <c r="N43" s="5" t="n">
        <v>0.4256333967448001</v>
      </c>
      <c r="O43" s="3" t="n">
        <v>138663.0856617647</v>
      </c>
      <c r="P43" s="5" t="n">
        <v>0.6599999999999999</v>
      </c>
      <c r="Q43" s="3" t="n">
        <v>88200</v>
      </c>
      <c r="R43" s="5" t="n">
        <v>0.4654710983560091</v>
      </c>
      <c r="S43" s="3" t="n">
        <v>93.60000000000001</v>
      </c>
      <c r="T43" s="5" t="n">
        <v>0.8560883726343103</v>
      </c>
      <c r="U43" s="6" t="n"/>
    </row>
    <row r="44">
      <c r="A44" s="2" t="inlineStr">
        <is>
          <t>ANCIENT</t>
        </is>
      </c>
      <c r="B44" s="2" t="inlineStr">
        <is>
          <t>MÍSTICA HIGH WAIST BOTTOM</t>
        </is>
      </c>
      <c r="C44" s="2" t="inlineStr">
        <is>
          <t>283223/MIST</t>
        </is>
      </c>
      <c r="D44" s="2" t="n">
        <v>8000</v>
      </c>
      <c r="E44" s="3" t="n">
        <v>22473.125</v>
      </c>
      <c r="F44" s="4" t="n">
        <v>11739.386625</v>
      </c>
      <c r="G44" s="3">
        <f>IF(OR(E44="",F44=""),"",E44+F44)</f>
        <v/>
      </c>
      <c r="H44" s="3" t="n">
        <v>40712.88883375</v>
      </c>
      <c r="I44" s="3" t="n">
        <v>101782.222084375</v>
      </c>
      <c r="J44" s="3" t="n">
        <v>109900</v>
      </c>
      <c r="K44" s="3" t="n">
        <v>52641.17647058823</v>
      </c>
      <c r="L44" s="5" t="n">
        <v>0.3500807938037769</v>
      </c>
      <c r="M44" s="3" t="n">
        <v>64480.82352941175</v>
      </c>
      <c r="N44" s="5" t="n">
        <v>0.4694157153654437</v>
      </c>
      <c r="O44" s="3" t="n">
        <v>100625.0341911765</v>
      </c>
      <c r="P44" s="5" t="n">
        <v>0.6599999999999999</v>
      </c>
      <c r="Q44" s="3" t="n">
        <v>78400</v>
      </c>
      <c r="R44" s="5" t="n">
        <v>0.5636159231505102</v>
      </c>
      <c r="S44" s="3" t="n">
        <v>83.2</v>
      </c>
      <c r="T44" s="5" t="n">
        <v>0.8825119793097528</v>
      </c>
      <c r="U44" s="6" t="n"/>
    </row>
    <row r="45">
      <c r="A45" s="2" t="inlineStr">
        <is>
          <t>ANCIENT</t>
        </is>
      </c>
      <c r="B45" s="2" t="inlineStr">
        <is>
          <t>MÍSTICA ONE SHOULDER ONE PIECE</t>
        </is>
      </c>
      <c r="C45" s="2" t="inlineStr">
        <is>
          <t>283326/MIST</t>
        </is>
      </c>
      <c r="D45" s="2" t="n">
        <v>8000</v>
      </c>
      <c r="E45" s="3" t="n">
        <v>51279.725</v>
      </c>
      <c r="F45" s="4" t="n">
        <v>11739.386625</v>
      </c>
      <c r="G45" s="3">
        <f>IF(OR(E45="",F45=""),"",E45+F45)</f>
        <v/>
      </c>
      <c r="H45" s="3" t="n">
        <v>74992.74283374999</v>
      </c>
      <c r="I45" s="3" t="n">
        <v>187481.857084375</v>
      </c>
      <c r="J45" s="3" t="n">
        <v>199900</v>
      </c>
      <c r="K45" s="3" t="n">
        <v>95750.42016806723</v>
      </c>
      <c r="L45" s="5" t="n">
        <v>0.341839842432181</v>
      </c>
      <c r="M45" s="3" t="n">
        <v>117285.8655462185</v>
      </c>
      <c r="N45" s="5" t="n">
        <v>0.4626879263625654</v>
      </c>
      <c r="O45" s="3" t="n">
        <v>185350.3283088235</v>
      </c>
      <c r="P45" s="5" t="n">
        <v>0.66</v>
      </c>
      <c r="Q45" s="3" t="n">
        <v>132300</v>
      </c>
      <c r="R45" s="5" t="n">
        <v>0.5236650670823886</v>
      </c>
      <c r="S45" s="3" t="n">
        <v>140.4</v>
      </c>
      <c r="T45" s="5" t="n">
        <v>0.8717559795991046</v>
      </c>
      <c r="U45" s="6" t="n"/>
    </row>
    <row r="46">
      <c r="A46" s="2" t="inlineStr">
        <is>
          <t>ANCIENT</t>
        </is>
      </c>
      <c r="B46" s="2" t="inlineStr">
        <is>
          <t>I'M YELLOW TRIANGLE TOP</t>
        </is>
      </c>
      <c r="C46" s="2" t="inlineStr">
        <is>
          <t>283135/YEW</t>
        </is>
      </c>
      <c r="D46" s="2" t="n">
        <v>8000</v>
      </c>
      <c r="E46" s="3" t="n">
        <v>30757.175</v>
      </c>
      <c r="F46" s="4" t="n">
        <v>11739.386625</v>
      </c>
      <c r="G46" s="3">
        <f>IF(OR(E46="",F46=""),"",E46+F46)</f>
        <v/>
      </c>
      <c r="H46" s="3" t="n">
        <v>50570.90833375</v>
      </c>
      <c r="I46" s="3" t="n">
        <v>126427.270834375</v>
      </c>
      <c r="J46" s="3" t="n">
        <v>129900</v>
      </c>
      <c r="K46" s="3" t="n">
        <v>62221.00840336135</v>
      </c>
      <c r="L46" s="5" t="n">
        <v>0.317006221604338</v>
      </c>
      <c r="M46" s="3" t="n">
        <v>76215.27731092437</v>
      </c>
      <c r="N46" s="5" t="n">
        <v>0.4424141310720032</v>
      </c>
      <c r="O46" s="3" t="n">
        <v>124989.8871323529</v>
      </c>
      <c r="P46" s="5" t="n">
        <v>0.66</v>
      </c>
      <c r="Q46" s="3" t="n">
        <v>78400</v>
      </c>
      <c r="R46" s="5" t="n">
        <v>0.4579520200892857</v>
      </c>
      <c r="S46" s="3" t="n">
        <v>83.2</v>
      </c>
      <c r="T46" s="5" t="n">
        <v>0.8540640054086538</v>
      </c>
      <c r="U46" s="6" t="n"/>
    </row>
    <row r="47">
      <c r="A47" s="2" t="inlineStr">
        <is>
          <t>ANCIENT</t>
        </is>
      </c>
      <c r="B47" s="2" t="inlineStr">
        <is>
          <t>I'M YELLOW STRAP TIE SIDE BOTTOM</t>
        </is>
      </c>
      <c r="C47" s="2" t="inlineStr">
        <is>
          <t>283236/YEW</t>
        </is>
      </c>
      <c r="D47" s="2" t="n">
        <v>8000</v>
      </c>
      <c r="E47" s="3" t="n">
        <v>27301.9</v>
      </c>
      <c r="F47" s="4" t="n">
        <v>11739.386625</v>
      </c>
      <c r="G47" s="3">
        <f>IF(OR(E47="",F47=""),"",E47+F47)</f>
        <v/>
      </c>
      <c r="H47" s="3" t="n">
        <v>46459.13108375</v>
      </c>
      <c r="I47" s="3" t="n">
        <v>116147.827709375</v>
      </c>
      <c r="J47" s="3" t="n">
        <v>119900</v>
      </c>
      <c r="K47" s="3" t="n">
        <v>57431.09243697478</v>
      </c>
      <c r="L47" s="5" t="n">
        <v>0.3202064427410268</v>
      </c>
      <c r="M47" s="3" t="n">
        <v>70348.05042016806</v>
      </c>
      <c r="N47" s="5" t="n">
        <v>0.4450267435725942</v>
      </c>
      <c r="O47" s="3" t="n">
        <v>114827.3136029412</v>
      </c>
      <c r="P47" s="5" t="n">
        <v>0.6599999999999999</v>
      </c>
      <c r="Q47" s="3" t="n">
        <v>78400</v>
      </c>
      <c r="R47" s="5" t="n">
        <v>0.5020244052933673</v>
      </c>
      <c r="S47" s="3" t="n">
        <v>83.2</v>
      </c>
      <c r="T47" s="5" t="n">
        <v>0.8659296475789835</v>
      </c>
      <c r="U47" s="6" t="n"/>
    </row>
    <row r="48">
      <c r="A48" s="2" t="inlineStr">
        <is>
          <t>ANCIENT</t>
        </is>
      </c>
      <c r="B48" s="2" t="inlineStr">
        <is>
          <t>I'M YELLOW STRAIGHT ONE PIECE</t>
        </is>
      </c>
      <c r="C48" s="2" t="inlineStr">
        <is>
          <t>283370/YEW</t>
        </is>
      </c>
      <c r="D48" s="2" t="n">
        <v>8000</v>
      </c>
      <c r="E48" s="3" t="n">
        <v>54694</v>
      </c>
      <c r="F48" s="4" t="n">
        <v>11739.386625</v>
      </c>
      <c r="G48" s="3">
        <f>IF(OR(E48="",F48=""),"",E48+F48)</f>
        <v/>
      </c>
      <c r="H48" s="3" t="n">
        <v>79055.73008374999</v>
      </c>
      <c r="I48" s="3" t="n">
        <v>197639.325209375</v>
      </c>
      <c r="J48" s="3" t="n">
        <v>199900</v>
      </c>
      <c r="K48" s="3" t="n">
        <v>95750.42016806723</v>
      </c>
      <c r="L48" s="5" t="n">
        <v>0.3061817743630587</v>
      </c>
      <c r="M48" s="3" t="n">
        <v>117285.8655462185</v>
      </c>
      <c r="N48" s="5" t="n">
        <v>0.433577214819455</v>
      </c>
      <c r="O48" s="3" t="n">
        <v>195392.3136029412</v>
      </c>
      <c r="P48" s="5" t="n">
        <v>0.66</v>
      </c>
      <c r="Q48" s="3" t="n">
        <v>134750</v>
      </c>
      <c r="R48" s="5" t="n">
        <v>0.5069878543599258</v>
      </c>
      <c r="S48" s="3" t="n">
        <v>143</v>
      </c>
      <c r="T48" s="5" t="n">
        <v>0.8672659607892108</v>
      </c>
      <c r="U48" s="6" t="n"/>
    </row>
    <row r="49">
      <c r="A49" s="2" t="inlineStr">
        <is>
          <t>ANCIENT</t>
        </is>
      </c>
      <c r="B49" s="2" t="inlineStr">
        <is>
          <t>MÍSTICA PAREO</t>
        </is>
      </c>
      <c r="C49" s="2" t="inlineStr">
        <is>
          <t>28RE22/MIST</t>
        </is>
      </c>
      <c r="D49" s="2" t="n">
        <v>8000</v>
      </c>
      <c r="E49" s="3" t="n">
        <v>31578.17142857143</v>
      </c>
      <c r="F49" s="4" t="n">
        <v>11739.386625</v>
      </c>
      <c r="G49" s="3">
        <f>IF(OR(E49="",F49=""),"",E49+F49)</f>
        <v/>
      </c>
      <c r="H49" s="3" t="n">
        <v>51547.89408374999</v>
      </c>
      <c r="I49" s="3" t="n">
        <v>128869.735209375</v>
      </c>
      <c r="J49" s="3" t="n">
        <v>139900</v>
      </c>
      <c r="K49" s="3" t="n">
        <v>67010.9243697479</v>
      </c>
      <c r="L49" s="5" t="n">
        <v>0.3535746826210451</v>
      </c>
      <c r="M49" s="3" t="n">
        <v>82082.50420168067</v>
      </c>
      <c r="N49" s="5" t="n">
        <v>0.4722680737525004</v>
      </c>
      <c r="O49" s="3" t="n">
        <v>127404.5825105042</v>
      </c>
      <c r="P49" s="5" t="n">
        <v>0.66</v>
      </c>
      <c r="Q49" s="3" t="n">
        <v>88200</v>
      </c>
      <c r="R49" s="5" t="n">
        <v>0.5088712238824101</v>
      </c>
      <c r="S49" s="3" t="n">
        <v>93.60000000000001</v>
      </c>
      <c r="T49" s="5" t="n">
        <v>0.867773021814495</v>
      </c>
      <c r="U49" s="6" t="n"/>
    </row>
    <row r="50">
      <c r="A50" s="2" t="inlineStr">
        <is>
          <t>ANCIENT</t>
        </is>
      </c>
      <c r="B50" s="2" t="inlineStr">
        <is>
          <t>MÍSTICA HEADKERCHIEF</t>
        </is>
      </c>
      <c r="C50" s="2" t="inlineStr">
        <is>
          <t>28KE21/MIST</t>
        </is>
      </c>
      <c r="D50" s="2" t="n">
        <v>8000</v>
      </c>
      <c r="E50" s="3" t="n">
        <v>19794.12</v>
      </c>
      <c r="F50" s="4" t="n">
        <v>3159.75</v>
      </c>
      <c r="G50" s="3">
        <f>IF(OR(E50="",F50=""),"",E50+F50)</f>
        <v/>
      </c>
      <c r="H50" s="3" t="n">
        <v>27315.1053</v>
      </c>
      <c r="I50" s="3" t="n">
        <v>68287.76324999999</v>
      </c>
      <c r="J50" s="3" t="n">
        <v>59900</v>
      </c>
      <c r="K50" s="3" t="n">
        <v>28691.59663865546</v>
      </c>
      <c r="L50" s="5" t="n">
        <v>0.1999793427642562</v>
      </c>
      <c r="M50" s="3" t="n">
        <v>35144.68907563025</v>
      </c>
      <c r="N50" s="5" t="n">
        <v>0.3468751437634289</v>
      </c>
      <c r="O50" s="3" t="n">
        <v>67511.38235294117</v>
      </c>
      <c r="P50" s="5" t="n">
        <v>0.66</v>
      </c>
      <c r="Q50" s="3" t="n">
        <v>39200</v>
      </c>
      <c r="R50" s="5" t="n">
        <v>0.4144420918367347</v>
      </c>
      <c r="S50" s="3" t="n">
        <v>41.6</v>
      </c>
      <c r="T50" s="5" t="n">
        <v>0.842349793956044</v>
      </c>
      <c r="U50" s="6" t="n"/>
    </row>
    <row r="51">
      <c r="A51" s="2" t="inlineStr">
        <is>
          <t>ANCIENT</t>
        </is>
      </c>
      <c r="B51" s="2" t="inlineStr">
        <is>
          <t>MÍSTICA MESH SHIRT</t>
        </is>
      </c>
      <c r="C51" s="2" t="inlineStr">
        <is>
          <t>28CA36/MIST</t>
        </is>
      </c>
      <c r="D51" s="2" t="n">
        <v>8000</v>
      </c>
      <c r="E51" s="3" t="n">
        <v>32455.55913978495</v>
      </c>
      <c r="F51" s="4" t="n">
        <v>11739.386625</v>
      </c>
      <c r="G51" s="3">
        <f>IF(OR(E51="",F51=""),"",E51+F51)</f>
        <v/>
      </c>
      <c r="H51" s="3" t="n">
        <v>52591.98546009409</v>
      </c>
      <c r="I51" s="3" t="n">
        <v>131479.9636502352</v>
      </c>
      <c r="J51" s="3" t="n">
        <v>129900</v>
      </c>
      <c r="K51" s="3" t="n">
        <v>62221.00840336135</v>
      </c>
      <c r="L51" s="5" t="n">
        <v>0.2897102297301016</v>
      </c>
      <c r="M51" s="3" t="n">
        <v>76215.27731092437</v>
      </c>
      <c r="N51" s="5" t="n">
        <v>0.4201300930194184</v>
      </c>
      <c r="O51" s="3" t="n">
        <v>129985.1346023087</v>
      </c>
      <c r="P51" s="5" t="n">
        <v>0.66</v>
      </c>
      <c r="Q51" s="3" t="n">
        <v>95549.99999999999</v>
      </c>
      <c r="R51" s="5" t="n">
        <v>0.5374678622209842</v>
      </c>
      <c r="S51" s="3" t="n">
        <v>101.4</v>
      </c>
      <c r="T51" s="5" t="n">
        <v>0.8754721167518035</v>
      </c>
      <c r="U51" s="6" t="n"/>
    </row>
    <row r="52">
      <c r="A52" s="2" t="inlineStr">
        <is>
          <t>ANCIENT</t>
        </is>
      </c>
      <c r="B52" s="2" t="inlineStr">
        <is>
          <t>MÍSTICA T-SHIRT</t>
        </is>
      </c>
      <c r="C52" s="2" t="inlineStr">
        <is>
          <t>28TSH20/MIST</t>
        </is>
      </c>
      <c r="D52" s="2" t="n">
        <v>8000</v>
      </c>
      <c r="E52" s="3" t="n">
        <v>29977.09803921569</v>
      </c>
      <c r="F52" s="4" t="n">
        <v>11739.386625</v>
      </c>
      <c r="G52" s="3">
        <f>IF(OR(E52="",F52=""),"",E52+F52)</f>
        <v/>
      </c>
      <c r="H52" s="3" t="n">
        <v>49642.61675041666</v>
      </c>
      <c r="I52" s="3" t="n">
        <v>124106.5418760417</v>
      </c>
      <c r="J52" s="3" t="n">
        <v>129900</v>
      </c>
      <c r="K52" s="3" t="n">
        <v>62221.00840336135</v>
      </c>
      <c r="L52" s="5" t="n">
        <v>0.3295434173329462</v>
      </c>
      <c r="M52" s="3" t="n">
        <v>76215.27731092437</v>
      </c>
      <c r="N52" s="5" t="n">
        <v>0.4526493094812079</v>
      </c>
      <c r="O52" s="3" t="n">
        <v>122695.5431300461</v>
      </c>
      <c r="P52" s="5" t="n">
        <v>0.6599999999999999</v>
      </c>
      <c r="Q52" s="3" t="n">
        <v>83299.99999999999</v>
      </c>
      <c r="R52" s="5" t="n">
        <v>0.4992018647753218</v>
      </c>
      <c r="S52" s="3" t="n">
        <v>88.40000000000001</v>
      </c>
      <c r="T52" s="5" t="n">
        <v>0.865169732824125</v>
      </c>
      <c r="U52" s="6" t="n"/>
    </row>
    <row r="53">
      <c r="A53" s="2" t="inlineStr">
        <is>
          <t>ANCIENT</t>
        </is>
      </c>
      <c r="B53" s="2" t="inlineStr">
        <is>
          <t>MÍSTICA CARGO PANTS</t>
        </is>
      </c>
      <c r="C53" s="2" t="inlineStr">
        <is>
          <t>28PA25/MIST</t>
        </is>
      </c>
      <c r="D53" s="2" t="n">
        <v>8000</v>
      </c>
      <c r="E53" s="3" t="n">
        <v>59969.36647619048</v>
      </c>
      <c r="F53" s="4" t="n">
        <v>11739.386625</v>
      </c>
      <c r="G53" s="3">
        <f>IF(OR(E53="",F53=""),"",E53+F53)</f>
        <v/>
      </c>
      <c r="H53" s="3" t="n">
        <v>85333.41619041667</v>
      </c>
      <c r="I53" s="3" t="n">
        <v>213333.5404760416</v>
      </c>
      <c r="J53" s="3" t="n">
        <v>209900</v>
      </c>
      <c r="K53" s="3" t="n">
        <v>100540.3361344538</v>
      </c>
      <c r="L53" s="5" t="n">
        <v>0.2867663282397074</v>
      </c>
      <c r="M53" s="3" t="n">
        <v>123153.0924369748</v>
      </c>
      <c r="N53" s="5" t="n">
        <v>0.4177267360306979</v>
      </c>
      <c r="O53" s="3" t="n">
        <v>210908.0973564426</v>
      </c>
      <c r="P53" s="5" t="n">
        <v>0.66</v>
      </c>
      <c r="Q53" s="3" t="n">
        <v>147000</v>
      </c>
      <c r="R53" s="5" t="n">
        <v>0.512185353053126</v>
      </c>
      <c r="S53" s="3" t="n">
        <v>156</v>
      </c>
      <c r="T53" s="5" t="n">
        <v>0.868665287360457</v>
      </c>
      <c r="U53" s="6" t="n"/>
    </row>
    <row r="54">
      <c r="A54" s="2" t="inlineStr">
        <is>
          <t>ANCIENT</t>
        </is>
      </c>
      <c r="B54" s="2" t="inlineStr">
        <is>
          <t>MÍSTICA MESH DRESS</t>
        </is>
      </c>
      <c r="C54" s="2" t="inlineStr">
        <is>
          <t>28VE32/MIST</t>
        </is>
      </c>
      <c r="D54" s="2" t="n">
        <v>8000</v>
      </c>
      <c r="E54" s="3" t="n">
        <v>50498.71999999999</v>
      </c>
      <c r="F54" s="4" t="n">
        <v>11739.386625</v>
      </c>
      <c r="G54" s="3">
        <f>IF(OR(E54="",F54=""),"",E54+F54)</f>
        <v/>
      </c>
      <c r="H54" s="3" t="n">
        <v>74063.34688374998</v>
      </c>
      <c r="I54" s="3" t="n">
        <v>185158.367209375</v>
      </c>
      <c r="J54" s="3" t="n">
        <v>179900</v>
      </c>
      <c r="K54" s="3" t="n">
        <v>86170.58823529411</v>
      </c>
      <c r="L54" s="5" t="n">
        <v>0.2777337616048877</v>
      </c>
      <c r="M54" s="3" t="n">
        <v>105551.4117647059</v>
      </c>
      <c r="N54" s="5" t="n">
        <v>0.4103526842090891</v>
      </c>
      <c r="O54" s="3" t="n">
        <v>183053.2547794117</v>
      </c>
      <c r="P54" s="5" t="n">
        <v>0.66</v>
      </c>
      <c r="Q54" s="3" t="n">
        <v>120050</v>
      </c>
      <c r="R54" s="5" t="n">
        <v>0.4815651259891712</v>
      </c>
      <c r="S54" s="3" t="n">
        <v>127.4</v>
      </c>
      <c r="T54" s="5" t="n">
        <v>0.8604213800740076</v>
      </c>
      <c r="U54" s="6" t="n"/>
    </row>
    <row r="55">
      <c r="A55" s="2" t="inlineStr">
        <is>
          <t>ANCIENT</t>
        </is>
      </c>
      <c r="B55" s="2" t="inlineStr">
        <is>
          <t>I'M YELLOW CLASSIC LONG SHIRT</t>
        </is>
      </c>
      <c r="C55" s="2" t="inlineStr">
        <is>
          <t>28CA41/YEW</t>
        </is>
      </c>
      <c r="D55" s="2" t="n">
        <v>8000</v>
      </c>
      <c r="E55" s="3" t="n">
        <v>48218.46666666667</v>
      </c>
      <c r="F55" s="4" t="n">
        <v>11739.386625</v>
      </c>
      <c r="G55" s="3">
        <f>IF(OR(E55="",F55=""),"",E55+F55)</f>
        <v/>
      </c>
      <c r="H55" s="3" t="n">
        <v>71349.84541708333</v>
      </c>
      <c r="I55" s="3" t="n">
        <v>178374.6135427083</v>
      </c>
      <c r="J55" s="3" t="n">
        <v>159900</v>
      </c>
      <c r="K55" s="3" t="n">
        <v>76590.75630252101</v>
      </c>
      <c r="L55" s="5" t="n">
        <v>0.2171659324678436</v>
      </c>
      <c r="M55" s="3" t="n">
        <v>93816.95798319328</v>
      </c>
      <c r="N55" s="5" t="n">
        <v>0.3609060176262831</v>
      </c>
      <c r="O55" s="3" t="n">
        <v>176346.6273284314</v>
      </c>
      <c r="P55" s="5" t="n">
        <v>0.66</v>
      </c>
      <c r="Q55" s="3" t="n">
        <v>115150</v>
      </c>
      <c r="R55" s="5" t="n">
        <v>0.4793065280793168</v>
      </c>
      <c r="S55" s="3" t="n">
        <v>122.2</v>
      </c>
      <c r="T55" s="5" t="n">
        <v>0.8598132960213546</v>
      </c>
      <c r="U55" s="6" t="n"/>
    </row>
    <row r="56">
      <c r="A56" s="2" t="inlineStr">
        <is>
          <t>ANCIENT</t>
        </is>
      </c>
      <c r="B56" s="2" t="inlineStr">
        <is>
          <t>I'M IVORY MESH KNIT VEST</t>
        </is>
      </c>
      <c r="C56" s="2" t="inlineStr">
        <is>
          <t>28CA42/IVRY</t>
        </is>
      </c>
      <c r="D56" s="2" t="n">
        <v>8000</v>
      </c>
      <c r="E56" s="3" t="n">
        <v>30257.5625</v>
      </c>
      <c r="F56" s="4" t="n">
        <v>11739.386625</v>
      </c>
      <c r="G56" s="3">
        <f>IF(OR(E56="",F56=""),"",E56+F56)</f>
        <v/>
      </c>
      <c r="H56" s="3" t="n">
        <v>49976.36945875</v>
      </c>
      <c r="I56" s="3" t="n">
        <v>124940.923646875</v>
      </c>
      <c r="J56" s="3" t="n">
        <v>129900</v>
      </c>
      <c r="K56" s="3" t="n">
        <v>62221.00840336135</v>
      </c>
      <c r="L56" s="5" t="n">
        <v>0.3250358648521805</v>
      </c>
      <c r="M56" s="3" t="n">
        <v>76215.27731092437</v>
      </c>
      <c r="N56" s="5" t="n">
        <v>0.4489694112943897</v>
      </c>
      <c r="O56" s="3" t="n">
        <v>123520.4386029412</v>
      </c>
      <c r="P56" s="5" t="n">
        <v>0.66</v>
      </c>
      <c r="Q56" s="3" t="n">
        <v>83299.99999999999</v>
      </c>
      <c r="R56" s="5" t="n">
        <v>0.495834944477791</v>
      </c>
      <c r="S56" s="3" t="n">
        <v>88.40000000000001</v>
      </c>
      <c r="T56" s="5" t="n">
        <v>0.8642632542824823</v>
      </c>
      <c r="U56" s="6" t="n"/>
    </row>
    <row r="57">
      <c r="A57" s="2" t="inlineStr">
        <is>
          <t>ANCIENT</t>
        </is>
      </c>
      <c r="B57" s="2" t="inlineStr">
        <is>
          <t>I'M IVORY MESH KNIT PANTS</t>
        </is>
      </c>
      <c r="C57" s="2" t="inlineStr">
        <is>
          <t>28PA26/IVRY</t>
        </is>
      </c>
      <c r="D57" s="2" t="n">
        <v>8000</v>
      </c>
      <c r="E57" s="3" t="n">
        <v>37731.55</v>
      </c>
      <c r="F57" s="4" t="n">
        <v>11739.386625</v>
      </c>
      <c r="G57" s="3">
        <f>IF(OR(E57="",F57=""),"",E57+F57)</f>
        <v/>
      </c>
      <c r="H57" s="3" t="n">
        <v>58870.41458375</v>
      </c>
      <c r="I57" s="3" t="n">
        <v>147176.036459375</v>
      </c>
      <c r="J57" s="3" t="n">
        <v>149900</v>
      </c>
      <c r="K57" s="3" t="n">
        <v>71800.84033613445</v>
      </c>
      <c r="L57" s="5" t="n">
        <v>0.3109978045743946</v>
      </c>
      <c r="M57" s="3" t="n">
        <v>87949.73109243697</v>
      </c>
      <c r="N57" s="5" t="n">
        <v>0.4375089495952519</v>
      </c>
      <c r="O57" s="3" t="n">
        <v>145502.7547794118</v>
      </c>
      <c r="P57" s="5" t="n">
        <v>0.66</v>
      </c>
      <c r="Q57" s="3" t="n">
        <v>93099.99999999999</v>
      </c>
      <c r="R57" s="5" t="n">
        <v>0.4686258149838882</v>
      </c>
      <c r="S57" s="3" t="n">
        <v>98.8</v>
      </c>
      <c r="T57" s="5" t="n">
        <v>0.8569377194187392</v>
      </c>
      <c r="U57" s="6" t="n"/>
    </row>
    <row r="58">
      <c r="A58" s="2" t="inlineStr">
        <is>
          <t>ANCIENT</t>
        </is>
      </c>
      <c r="B58" s="2" t="inlineStr">
        <is>
          <t>MÍSTICA SLEEP SLEEVELESS SHIRT</t>
        </is>
      </c>
      <c r="C58" s="2" t="inlineStr">
        <is>
          <t>284124/MIST</t>
        </is>
      </c>
      <c r="D58" s="2" t="n">
        <v>8000</v>
      </c>
      <c r="E58" s="3" t="n">
        <v>21933.56666666665</v>
      </c>
      <c r="F58" s="4" t="n">
        <v>11739.386625</v>
      </c>
      <c r="G58" s="3">
        <f>IF(OR(E58="",F58=""),"",E58+F58)</f>
        <v/>
      </c>
      <c r="H58" s="3" t="n">
        <v>40070.81441708331</v>
      </c>
      <c r="I58" s="3" t="n">
        <v>100177.0360427083</v>
      </c>
      <c r="J58" s="3" t="n">
        <v>89950</v>
      </c>
      <c r="K58" s="3" t="n">
        <v>43085.29411764706</v>
      </c>
      <c r="L58" s="5" t="n">
        <v>0.2184583166655293</v>
      </c>
      <c r="M58" s="3" t="n">
        <v>52775.70588235294</v>
      </c>
      <c r="N58" s="5" t="n">
        <v>0.3619611006865535</v>
      </c>
      <c r="O58" s="3" t="n">
        <v>99038.09791666661</v>
      </c>
      <c r="P58" s="5" t="n">
        <v>0.6599999999999999</v>
      </c>
      <c r="Q58" s="3" t="n">
        <v>36750</v>
      </c>
      <c r="R58" s="5" t="n">
        <v>0.08372916213151972</v>
      </c>
      <c r="S58" s="3" t="n">
        <v>39</v>
      </c>
      <c r="T58" s="5" t="n">
        <v>0.7533116974969476</v>
      </c>
      <c r="U58" s="6" t="n"/>
    </row>
    <row r="59">
      <c r="A59" s="2" t="inlineStr">
        <is>
          <t>ANCIENT</t>
        </is>
      </c>
      <c r="B59" s="2" t="inlineStr">
        <is>
          <t>MÍSTICA SLEEP PANTS</t>
        </is>
      </c>
      <c r="C59" s="2" t="inlineStr">
        <is>
          <t>284323/MIST</t>
        </is>
      </c>
      <c r="D59" s="2" t="n">
        <v>8000</v>
      </c>
      <c r="E59" s="3" t="n">
        <v>21933.56666666665</v>
      </c>
      <c r="F59" s="4" t="n">
        <v>11739.386625</v>
      </c>
      <c r="G59" s="3">
        <f>IF(OR(E59="",F59=""),"",E59+F59)</f>
        <v/>
      </c>
      <c r="H59" s="3" t="n">
        <v>40070.81441708331</v>
      </c>
      <c r="I59" s="3" t="n">
        <v>100177.0360427083</v>
      </c>
      <c r="J59" s="3" t="n">
        <v>89950</v>
      </c>
      <c r="K59" s="3" t="n">
        <v>43085.29411764706</v>
      </c>
      <c r="L59" s="5" t="n">
        <v>0.2184583166655293</v>
      </c>
      <c r="M59" s="3" t="n">
        <v>52775.70588235294</v>
      </c>
      <c r="N59" s="5" t="n">
        <v>0.3619611006865535</v>
      </c>
      <c r="O59" s="3" t="n">
        <v>99038.09791666661</v>
      </c>
      <c r="P59" s="5" t="n">
        <v>0.6599999999999999</v>
      </c>
      <c r="Q59" s="3" t="n">
        <v>44100</v>
      </c>
      <c r="R59" s="5" t="n">
        <v>0.2364409684429331</v>
      </c>
      <c r="S59" s="3" t="n">
        <v>46.8</v>
      </c>
      <c r="T59" s="5" t="n">
        <v>0.7944264145807897</v>
      </c>
      <c r="U59" s="6" t="n"/>
    </row>
    <row r="60">
      <c r="A60" s="2" t="inlineStr">
        <is>
          <t>ANCIENT</t>
        </is>
      </c>
      <c r="B60" s="2" t="inlineStr">
        <is>
          <t>ANCIENT TRIANGLE TOP</t>
        </is>
      </c>
      <c r="C60" s="2" t="inlineStr">
        <is>
          <t>283135/ANCT</t>
        </is>
      </c>
      <c r="D60" s="2" t="n">
        <v>8000</v>
      </c>
      <c r="E60" s="3" t="n">
        <v>30776.65</v>
      </c>
      <c r="F60" s="4" t="n">
        <v>11739.386625</v>
      </c>
      <c r="G60" s="3">
        <f>IF(OR(E60="",F60=""),"",E60+F60)</f>
        <v/>
      </c>
      <c r="H60" s="3" t="n">
        <v>50594.08358375</v>
      </c>
      <c r="I60" s="3" t="n">
        <v>126485.208959375</v>
      </c>
      <c r="J60" s="3" t="n">
        <v>129900</v>
      </c>
      <c r="K60" s="3" t="n">
        <v>62221.00840336135</v>
      </c>
      <c r="L60" s="5" t="n">
        <v>0.3166932244270221</v>
      </c>
      <c r="M60" s="3" t="n">
        <v>76215.27731092437</v>
      </c>
      <c r="N60" s="5" t="n">
        <v>0.4421586048745383</v>
      </c>
      <c r="O60" s="3" t="n">
        <v>125047.1665441176</v>
      </c>
      <c r="P60" s="5" t="n">
        <v>0.6599999999999999</v>
      </c>
      <c r="Q60" s="3" t="n">
        <v>78400</v>
      </c>
      <c r="R60" s="5" t="n">
        <v>0.4577036144770408</v>
      </c>
      <c r="S60" s="3" t="n">
        <v>83.2</v>
      </c>
      <c r="T60" s="5" t="n">
        <v>0.8539971269745879</v>
      </c>
      <c r="U60" s="6" t="n"/>
    </row>
    <row r="61">
      <c r="A61" s="2" t="inlineStr">
        <is>
          <t>ANCIENT</t>
        </is>
      </c>
      <c r="B61" s="2" t="inlineStr">
        <is>
          <t>ANCIENT STRAP TIE SIDE BOTTOM</t>
        </is>
      </c>
      <c r="C61" s="2" t="inlineStr">
        <is>
          <t>283236/ANCT</t>
        </is>
      </c>
      <c r="D61" s="2" t="n">
        <v>8000</v>
      </c>
      <c r="E61" s="3" t="n">
        <v>28958.3</v>
      </c>
      <c r="F61" s="4" t="n">
        <v>11739.386625</v>
      </c>
      <c r="G61" s="3">
        <f>IF(OR(E61="",F61=""),"",E61+F61)</f>
        <v/>
      </c>
      <c r="H61" s="3" t="n">
        <v>48430.24708375</v>
      </c>
      <c r="I61" s="3" t="n">
        <v>121075.617709375</v>
      </c>
      <c r="J61" s="3" t="n">
        <v>119900</v>
      </c>
      <c r="K61" s="3" t="n">
        <v>57431.09243697478</v>
      </c>
      <c r="L61" s="5" t="n">
        <v>0.2913649227609263</v>
      </c>
      <c r="M61" s="3" t="n">
        <v>70348.05042016806</v>
      </c>
      <c r="N61" s="5" t="n">
        <v>0.4214809595727987</v>
      </c>
      <c r="O61" s="3" t="n">
        <v>119699.0783088235</v>
      </c>
      <c r="P61" s="5" t="n">
        <v>0.66</v>
      </c>
      <c r="Q61" s="3" t="n">
        <v>78400</v>
      </c>
      <c r="R61" s="5" t="n">
        <v>0.4808968542729591</v>
      </c>
      <c r="S61" s="3" t="n">
        <v>83.2</v>
      </c>
      <c r="T61" s="5" t="n">
        <v>0.8602414607657967</v>
      </c>
      <c r="U61" s="6" t="n"/>
    </row>
    <row r="62">
      <c r="A62" s="2" t="inlineStr">
        <is>
          <t>ANCIENT</t>
        </is>
      </c>
      <c r="B62" s="2" t="inlineStr">
        <is>
          <t>ANCIENT ONE SHOULDER ONE PIECE</t>
        </is>
      </c>
      <c r="C62" s="2" t="inlineStr">
        <is>
          <t>283326/ANCT</t>
        </is>
      </c>
      <c r="D62" s="2" t="n">
        <v>8000</v>
      </c>
      <c r="E62" s="3" t="n">
        <v>51279.725</v>
      </c>
      <c r="F62" s="4" t="n">
        <v>11739.386625</v>
      </c>
      <c r="G62" s="3">
        <f>IF(OR(E62="",F62=""),"",E62+F62)</f>
        <v/>
      </c>
      <c r="H62" s="3" t="n">
        <v>74992.74283374999</v>
      </c>
      <c r="I62" s="3" t="n">
        <v>187481.857084375</v>
      </c>
      <c r="J62" s="3" t="n">
        <v>199900</v>
      </c>
      <c r="K62" s="3" t="n">
        <v>95750.42016806723</v>
      </c>
      <c r="L62" s="5" t="n">
        <v>0.341839842432181</v>
      </c>
      <c r="M62" s="3" t="n">
        <v>117285.8655462185</v>
      </c>
      <c r="N62" s="5" t="n">
        <v>0.4626879263625654</v>
      </c>
      <c r="O62" s="3" t="n">
        <v>185350.3283088235</v>
      </c>
      <c r="P62" s="5" t="n">
        <v>0.66</v>
      </c>
      <c r="Q62" s="3" t="n">
        <v>132300</v>
      </c>
      <c r="R62" s="5" t="n">
        <v>0.5236650670823886</v>
      </c>
      <c r="S62" s="3" t="n">
        <v>140.4</v>
      </c>
      <c r="T62" s="5" t="n">
        <v>0.8717559795991046</v>
      </c>
      <c r="U62" s="6" t="n"/>
    </row>
    <row r="63">
      <c r="A63" s="2" t="inlineStr">
        <is>
          <t>ANCIENT</t>
        </is>
      </c>
      <c r="B63" s="2" t="inlineStr">
        <is>
          <t>I'M BLACK TRIANGLE TOP</t>
        </is>
      </c>
      <c r="C63" s="2" t="inlineStr">
        <is>
          <t>283135/BLA</t>
        </is>
      </c>
      <c r="D63" s="2" t="n">
        <v>8000</v>
      </c>
      <c r="E63" s="3" t="n">
        <v>28598.525</v>
      </c>
      <c r="F63" s="4" t="n">
        <v>11739.386625</v>
      </c>
      <c r="G63" s="3">
        <f>IF(OR(E63="",F63=""),"",E63+F63)</f>
        <v/>
      </c>
      <c r="H63" s="3" t="n">
        <v>48002.11483375</v>
      </c>
      <c r="I63" s="3" t="n">
        <v>120005.287084375</v>
      </c>
      <c r="J63" s="3" t="n">
        <v>129900</v>
      </c>
      <c r="K63" s="3" t="n">
        <v>62221.00840336135</v>
      </c>
      <c r="L63" s="5" t="n">
        <v>0.3516994876794565</v>
      </c>
      <c r="M63" s="3" t="n">
        <v>76215.27731092437</v>
      </c>
      <c r="N63" s="5" t="n">
        <v>0.4707371927489118</v>
      </c>
      <c r="O63" s="3" t="n">
        <v>118640.9165441176</v>
      </c>
      <c r="P63" s="5" t="n">
        <v>0.6599999999999999</v>
      </c>
      <c r="Q63" s="3" t="n">
        <v>78400</v>
      </c>
      <c r="R63" s="5" t="n">
        <v>0.4854858211096938</v>
      </c>
      <c r="S63" s="3" t="n">
        <v>83.2</v>
      </c>
      <c r="T63" s="5" t="n">
        <v>0.8614769518372253</v>
      </c>
      <c r="U63" s="6" t="n"/>
    </row>
    <row r="64">
      <c r="A64" s="2" t="inlineStr">
        <is>
          <t>ANCIENT</t>
        </is>
      </c>
      <c r="B64" s="2" t="inlineStr">
        <is>
          <t>I'M BLACK STRAP TIE SIDE BOTTOM</t>
        </is>
      </c>
      <c r="C64" s="2" t="inlineStr">
        <is>
          <t>283236/BLA</t>
        </is>
      </c>
      <c r="D64" s="2" t="n">
        <v>8000</v>
      </c>
      <c r="E64" s="3" t="n">
        <v>26604.9</v>
      </c>
      <c r="F64" s="4" t="n">
        <v>11739.386625</v>
      </c>
      <c r="G64" s="3">
        <f>IF(OR(E64="",F64=""),"",E64+F64)</f>
        <v/>
      </c>
      <c r="H64" s="3" t="n">
        <v>45629.70108375</v>
      </c>
      <c r="I64" s="3" t="n">
        <v>114074.252709375</v>
      </c>
      <c r="J64" s="3" t="n">
        <v>119900</v>
      </c>
      <c r="K64" s="3" t="n">
        <v>57431.09243697478</v>
      </c>
      <c r="L64" s="5" t="n">
        <v>0.33234272590097</v>
      </c>
      <c r="M64" s="3" t="n">
        <v>70348.05042016806</v>
      </c>
      <c r="N64" s="5" t="n">
        <v>0.4549346229784487</v>
      </c>
      <c r="O64" s="3" t="n">
        <v>112777.3136029412</v>
      </c>
      <c r="P64" s="5" t="n">
        <v>0.6599999999999999</v>
      </c>
      <c r="Q64" s="3" t="n">
        <v>78400</v>
      </c>
      <c r="R64" s="5" t="n">
        <v>0.5109147114158163</v>
      </c>
      <c r="S64" s="3" t="n">
        <v>83.2</v>
      </c>
      <c r="T64" s="5" t="n">
        <v>0.8683231915350275</v>
      </c>
      <c r="U64" s="6" t="n"/>
    </row>
    <row r="65">
      <c r="A65" s="2" t="inlineStr">
        <is>
          <t>ANCIENT</t>
        </is>
      </c>
      <c r="B65" s="2" t="inlineStr">
        <is>
          <t>I'M BLACK V NECK BRALETTE TOP</t>
        </is>
      </c>
      <c r="C65" s="2" t="inlineStr">
        <is>
          <t>283154/BLA</t>
        </is>
      </c>
      <c r="D65" s="2" t="n">
        <v>8000</v>
      </c>
      <c r="E65" s="3" t="n">
        <v>36109.2125</v>
      </c>
      <c r="F65" s="4" t="n">
        <v>11739.386625</v>
      </c>
      <c r="G65" s="3">
        <f>IF(OR(E65="",F65=""),"",E65+F65)</f>
        <v/>
      </c>
      <c r="H65" s="3" t="n">
        <v>56939.83295875</v>
      </c>
      <c r="I65" s="3" t="n">
        <v>142349.582396875</v>
      </c>
      <c r="J65" s="3" t="n">
        <v>139900</v>
      </c>
      <c r="K65" s="3" t="n">
        <v>67010.9243697479</v>
      </c>
      <c r="L65" s="5" t="n">
        <v>0.2859582288257276</v>
      </c>
      <c r="M65" s="3" t="n">
        <v>82082.50420168067</v>
      </c>
      <c r="N65" s="5" t="n">
        <v>0.4170670157987177</v>
      </c>
      <c r="O65" s="3" t="n">
        <v>140731.1738970588</v>
      </c>
      <c r="P65" s="5" t="n">
        <v>0.6599999999999999</v>
      </c>
      <c r="Q65" s="3" t="n">
        <v>88200</v>
      </c>
      <c r="R65" s="5" t="n">
        <v>0.4574988761337868</v>
      </c>
      <c r="S65" s="3" t="n">
        <v>93.60000000000001</v>
      </c>
      <c r="T65" s="5" t="n">
        <v>0.8539420051129426</v>
      </c>
      <c r="U65" s="6" t="n"/>
    </row>
    <row r="66">
      <c r="A66" s="2" t="inlineStr">
        <is>
          <t>ANCIENT</t>
        </is>
      </c>
      <c r="B66" s="2" t="inlineStr">
        <is>
          <t>I'M BLACK CHEEKY BOTTOM</t>
        </is>
      </c>
      <c r="C66" s="2" t="inlineStr">
        <is>
          <t>283221/BLA</t>
        </is>
      </c>
      <c r="D66" s="2" t="n">
        <v>8000</v>
      </c>
      <c r="E66" s="3" t="n">
        <v>22473.125</v>
      </c>
      <c r="F66" s="4" t="n">
        <v>11739.386625</v>
      </c>
      <c r="G66" s="3">
        <f>IF(OR(E66="",F66=""),"",E66+F66)</f>
        <v/>
      </c>
      <c r="H66" s="3" t="n">
        <v>40712.88883375</v>
      </c>
      <c r="I66" s="3" t="n">
        <v>101782.222084375</v>
      </c>
      <c r="J66" s="3" t="n">
        <v>109900</v>
      </c>
      <c r="K66" s="3" t="n">
        <v>52641.17647058823</v>
      </c>
      <c r="L66" s="5" t="n">
        <v>0.3500807938037769</v>
      </c>
      <c r="M66" s="3" t="n">
        <v>64480.82352941175</v>
      </c>
      <c r="N66" s="5" t="n">
        <v>0.4694157153654437</v>
      </c>
      <c r="O66" s="3" t="n">
        <v>100625.0341911765</v>
      </c>
      <c r="P66" s="5" t="n">
        <v>0.6599999999999999</v>
      </c>
      <c r="Q66" s="3" t="n">
        <v>78400</v>
      </c>
      <c r="R66" s="5" t="n">
        <v>0.5636159231505102</v>
      </c>
      <c r="S66" s="3" t="n">
        <v>83.2</v>
      </c>
      <c r="T66" s="5" t="n">
        <v>0.8825119793097528</v>
      </c>
      <c r="U66" s="6" t="n"/>
    </row>
    <row r="67">
      <c r="A67" s="2" t="inlineStr">
        <is>
          <t>ANCIENT</t>
        </is>
      </c>
      <c r="B67" s="2" t="inlineStr">
        <is>
          <t>I'M BLACK STRAIGHT ONE PIECE</t>
        </is>
      </c>
      <c r="C67" s="2" t="inlineStr">
        <is>
          <t>283370/BLA</t>
        </is>
      </c>
      <c r="D67" s="2" t="n">
        <v>8000</v>
      </c>
      <c r="E67" s="3" t="n">
        <v>54694</v>
      </c>
      <c r="F67" s="4" t="n">
        <v>11739.386625</v>
      </c>
      <c r="G67" s="3">
        <f>IF(OR(E67="",F67=""),"",E67+F67)</f>
        <v/>
      </c>
      <c r="H67" s="3" t="n">
        <v>79055.73008374999</v>
      </c>
      <c r="I67" s="3" t="n">
        <v>197639.325209375</v>
      </c>
      <c r="J67" s="3" t="n">
        <v>199900</v>
      </c>
      <c r="K67" s="3" t="n">
        <v>95750.42016806723</v>
      </c>
      <c r="L67" s="5" t="n">
        <v>0.3061817743630587</v>
      </c>
      <c r="M67" s="3" t="n">
        <v>117285.8655462185</v>
      </c>
      <c r="N67" s="5" t="n">
        <v>0.433577214819455</v>
      </c>
      <c r="O67" s="3" t="n">
        <v>195392.3136029412</v>
      </c>
      <c r="P67" s="5" t="n">
        <v>0.66</v>
      </c>
      <c r="Q67" s="3" t="n">
        <v>134750</v>
      </c>
      <c r="R67" s="5" t="n">
        <v>0.5069878543599258</v>
      </c>
      <c r="S67" s="3" t="n">
        <v>143</v>
      </c>
      <c r="T67" s="5" t="n">
        <v>0.8672659607892108</v>
      </c>
      <c r="U67" s="6" t="n"/>
    </row>
    <row r="68">
      <c r="A68" s="2" t="inlineStr">
        <is>
          <t>ANCIENT</t>
        </is>
      </c>
      <c r="B68" s="2" t="inlineStr">
        <is>
          <t>I'M BLACK ASYMMETRIC ONE SHOULDER</t>
        </is>
      </c>
      <c r="C68" s="2" t="inlineStr">
        <is>
          <t>283377/BLA</t>
        </is>
      </c>
      <c r="D68" s="2" t="n">
        <v>8000</v>
      </c>
      <c r="E68" s="3" t="n">
        <v>44962.0875</v>
      </c>
      <c r="F68" s="4" t="n">
        <v>11739.386625</v>
      </c>
      <c r="G68" s="3">
        <f>IF(OR(E68="",F68=""),"",E68+F68)</f>
        <v/>
      </c>
      <c r="H68" s="3" t="n">
        <v>67474.75420875</v>
      </c>
      <c r="I68" s="3" t="n">
        <v>168686.885521875</v>
      </c>
      <c r="J68" s="3" t="n">
        <v>199900</v>
      </c>
      <c r="K68" s="3" t="n">
        <v>95750.42016806723</v>
      </c>
      <c r="L68" s="5" t="n">
        <v>0.4078201012019168</v>
      </c>
      <c r="M68" s="3" t="n">
        <v>117285.8655462185</v>
      </c>
      <c r="N68" s="5" t="n">
        <v>0.5165532192567925</v>
      </c>
      <c r="O68" s="3" t="n">
        <v>166769.0415441176</v>
      </c>
      <c r="P68" s="5" t="n">
        <v>0.6599999999999999</v>
      </c>
      <c r="Q68" s="3" t="n">
        <v>137200</v>
      </c>
      <c r="R68" s="5" t="n">
        <v>0.586723949526239</v>
      </c>
      <c r="S68" s="3" t="n">
        <v>145.6</v>
      </c>
      <c r="T68" s="5" t="n">
        <v>0.8887333710262951</v>
      </c>
      <c r="U68" s="6" t="n"/>
    </row>
    <row r="69">
      <c r="A69" s="2" t="inlineStr">
        <is>
          <t>ANCIENT</t>
        </is>
      </c>
      <c r="B69" s="2" t="inlineStr">
        <is>
          <t>ANCIENT PAREO</t>
        </is>
      </c>
      <c r="C69" s="2" t="inlineStr">
        <is>
          <t>28RE22/ANCT</t>
        </is>
      </c>
      <c r="D69" s="2" t="n">
        <v>8000</v>
      </c>
      <c r="E69" s="3" t="n">
        <v>31578.17142857143</v>
      </c>
      <c r="F69" s="4" t="n">
        <v>11739.386625</v>
      </c>
      <c r="G69" s="3">
        <f>IF(OR(E69="",F69=""),"",E69+F69)</f>
        <v/>
      </c>
      <c r="H69" s="3" t="n">
        <v>51547.89408374999</v>
      </c>
      <c r="I69" s="3" t="n">
        <v>128869.735209375</v>
      </c>
      <c r="J69" s="3" t="n">
        <v>139900</v>
      </c>
      <c r="K69" s="3" t="n">
        <v>67010.9243697479</v>
      </c>
      <c r="L69" s="5" t="n">
        <v>0.3535746826210451</v>
      </c>
      <c r="M69" s="3" t="n">
        <v>82082.50420168067</v>
      </c>
      <c r="N69" s="5" t="n">
        <v>0.4722680737525004</v>
      </c>
      <c r="O69" s="3" t="n">
        <v>127404.5825105042</v>
      </c>
      <c r="P69" s="5" t="n">
        <v>0.66</v>
      </c>
      <c r="Q69" s="3" t="n">
        <v>88200</v>
      </c>
      <c r="R69" s="5" t="n">
        <v>0.5088712238824101</v>
      </c>
      <c r="S69" s="3" t="n">
        <v>93.60000000000001</v>
      </c>
      <c r="T69" s="5" t="n">
        <v>0.867773021814495</v>
      </c>
      <c r="U69" s="6" t="n"/>
    </row>
    <row r="70">
      <c r="A70" s="2" t="inlineStr">
        <is>
          <t>ANCIENT</t>
        </is>
      </c>
      <c r="B70" s="2" t="inlineStr">
        <is>
          <t>ANCIENT HEADKERCHIEF</t>
        </is>
      </c>
      <c r="C70" s="2" t="inlineStr">
        <is>
          <t>28KE21/ANCT</t>
        </is>
      </c>
      <c r="D70" s="2" t="n">
        <v>8000</v>
      </c>
      <c r="E70" s="3" t="n">
        <v>19794.12</v>
      </c>
      <c r="F70" s="4" t="n">
        <v>3159.75</v>
      </c>
      <c r="G70" s="3">
        <f>IF(OR(E70="",F70=""),"",E70+F70)</f>
        <v/>
      </c>
      <c r="H70" s="3" t="n">
        <v>27315.1053</v>
      </c>
      <c r="I70" s="3" t="n">
        <v>68287.76324999999</v>
      </c>
      <c r="J70" s="3" t="n">
        <v>59900</v>
      </c>
      <c r="K70" s="3" t="n">
        <v>28691.59663865546</v>
      </c>
      <c r="L70" s="5" t="n">
        <v>0.1999793427642562</v>
      </c>
      <c r="M70" s="3" t="n">
        <v>35144.68907563025</v>
      </c>
      <c r="N70" s="5" t="n">
        <v>0.3468751437634289</v>
      </c>
      <c r="O70" s="3" t="n">
        <v>67511.38235294117</v>
      </c>
      <c r="P70" s="5" t="n">
        <v>0.66</v>
      </c>
      <c r="Q70" s="3" t="n">
        <v>39200</v>
      </c>
      <c r="R70" s="5" t="n">
        <v>0.4144420918367347</v>
      </c>
      <c r="S70" s="3" t="n">
        <v>41.6</v>
      </c>
      <c r="T70" s="5" t="n">
        <v>0.842349793956044</v>
      </c>
      <c r="U70" s="6" t="n"/>
    </row>
    <row r="71">
      <c r="A71" s="2" t="inlineStr">
        <is>
          <t>ANCIENT</t>
        </is>
      </c>
      <c r="B71" s="2" t="inlineStr">
        <is>
          <t>ANCIENT TOWEL</t>
        </is>
      </c>
      <c r="C71" s="2" t="inlineStr">
        <is>
          <t>28TO27/ANCT</t>
        </is>
      </c>
      <c r="D71" s="2" t="n">
        <v>8000</v>
      </c>
      <c r="E71" s="3" t="n">
        <v>36124.62</v>
      </c>
      <c r="F71" s="4" t="n">
        <v>3159.75</v>
      </c>
      <c r="G71" s="3">
        <f>IF(OR(E71="",F71=""),"",E71+F71)</f>
        <v/>
      </c>
      <c r="H71" s="3" t="n">
        <v>46748.4003</v>
      </c>
      <c r="I71" s="3" t="n">
        <v>116871.00075</v>
      </c>
      <c r="J71" s="3" t="n">
        <v>94000</v>
      </c>
      <c r="K71" s="3" t="n">
        <v>45025.21008403361</v>
      </c>
      <c r="L71" s="5" t="n">
        <v>0.1275027939529675</v>
      </c>
      <c r="M71" s="3" t="n">
        <v>55151.93277310924</v>
      </c>
      <c r="N71" s="5" t="n">
        <v>0.2877063771887589</v>
      </c>
      <c r="O71" s="3" t="n">
        <v>115542.2647058823</v>
      </c>
      <c r="P71" s="5" t="n">
        <v>0.66</v>
      </c>
      <c r="Q71" s="3" t="n">
        <v>83299.99999999999</v>
      </c>
      <c r="R71" s="5" t="n">
        <v>0.528398919567827</v>
      </c>
      <c r="S71" s="3" t="n">
        <v>88.40000000000001</v>
      </c>
      <c r="T71" s="5" t="n">
        <v>0.8730304783451842</v>
      </c>
      <c r="U71" s="6" t="n"/>
    </row>
    <row r="72">
      <c r="A72" s="2" t="inlineStr">
        <is>
          <t>ANCIENT</t>
        </is>
      </c>
      <c r="B72" s="2" t="inlineStr">
        <is>
          <t>ANCIENT MESH SHIRT</t>
        </is>
      </c>
      <c r="C72" s="2" t="inlineStr">
        <is>
          <t>28CA36/ANCT</t>
        </is>
      </c>
      <c r="D72" s="2" t="n">
        <v>8000</v>
      </c>
      <c r="E72" s="3" t="n">
        <v>32455.55913978495</v>
      </c>
      <c r="F72" s="4" t="n">
        <v>11739.386625</v>
      </c>
      <c r="G72" s="3">
        <f>IF(OR(E72="",F72=""),"",E72+F72)</f>
        <v/>
      </c>
      <c r="H72" s="3" t="n">
        <v>52591.98546009409</v>
      </c>
      <c r="I72" s="3" t="n">
        <v>131479.9636502352</v>
      </c>
      <c r="J72" s="3" t="n">
        <v>129900</v>
      </c>
      <c r="K72" s="3" t="n">
        <v>62221.00840336135</v>
      </c>
      <c r="L72" s="5" t="n">
        <v>0.2897102297301016</v>
      </c>
      <c r="M72" s="3" t="n">
        <v>76215.27731092437</v>
      </c>
      <c r="N72" s="5" t="n">
        <v>0.4201300930194184</v>
      </c>
      <c r="O72" s="3" t="n">
        <v>129985.1346023087</v>
      </c>
      <c r="P72" s="5" t="n">
        <v>0.66</v>
      </c>
      <c r="Q72" s="3" t="n">
        <v>95549.99999999999</v>
      </c>
      <c r="R72" s="5" t="n">
        <v>0.5374678622209842</v>
      </c>
      <c r="S72" s="3" t="n">
        <v>101.4</v>
      </c>
      <c r="T72" s="5" t="n">
        <v>0.8754721167518035</v>
      </c>
      <c r="U72" s="6" t="n"/>
    </row>
    <row r="73">
      <c r="A73" s="2" t="inlineStr">
        <is>
          <t>ANCIENT</t>
        </is>
      </c>
      <c r="B73" s="2" t="inlineStr">
        <is>
          <t>ANCIENT T-SHIRT</t>
        </is>
      </c>
      <c r="C73" s="2" t="inlineStr">
        <is>
          <t>28TSH20/ANCT</t>
        </is>
      </c>
      <c r="D73" s="2" t="n">
        <v>8000</v>
      </c>
      <c r="E73" s="3" t="n">
        <v>28862.74509803922</v>
      </c>
      <c r="F73" s="4" t="n">
        <v>11739.386625</v>
      </c>
      <c r="G73" s="3">
        <f>IF(OR(E73="",F73=""),"",E73+F73)</f>
        <v/>
      </c>
      <c r="H73" s="3" t="n">
        <v>48316.53675041666</v>
      </c>
      <c r="I73" s="3" t="n">
        <v>120791.3418760417</v>
      </c>
      <c r="J73" s="3" t="n">
        <v>129900</v>
      </c>
      <c r="K73" s="3" t="n">
        <v>62221.00840336135</v>
      </c>
      <c r="L73" s="5" t="n">
        <v>0.3474530104072409</v>
      </c>
      <c r="M73" s="3" t="n">
        <v>76215.27731092437</v>
      </c>
      <c r="N73" s="5" t="n">
        <v>0.4672704324436083</v>
      </c>
      <c r="O73" s="3" t="n">
        <v>119418.0344795271</v>
      </c>
      <c r="P73" s="5" t="n">
        <v>0.6599999999999999</v>
      </c>
      <c r="Q73" s="3" t="n">
        <v>83299.99999999999</v>
      </c>
      <c r="R73" s="5" t="n">
        <v>0.512579451103971</v>
      </c>
      <c r="S73" s="3" t="n">
        <v>88.40000000000001</v>
      </c>
      <c r="T73" s="5" t="n">
        <v>0.8687713906818384</v>
      </c>
      <c r="U73" s="6" t="n"/>
    </row>
    <row r="74">
      <c r="A74" s="2" t="inlineStr">
        <is>
          <t>ANCIENT</t>
        </is>
      </c>
      <c r="B74" s="2" t="inlineStr">
        <is>
          <t>FUNGI  WHITE T-SHIRT</t>
        </is>
      </c>
      <c r="C74" s="2" t="inlineStr">
        <is>
          <t>28TSH20/FUWH</t>
        </is>
      </c>
      <c r="D74" s="2" t="n">
        <v>8000</v>
      </c>
      <c r="E74" s="3" t="n">
        <v>28862.74509803922</v>
      </c>
      <c r="F74" s="4" t="n">
        <v>11739.386625</v>
      </c>
      <c r="G74" s="3">
        <f>IF(OR(E74="",F74=""),"",E74+F74)</f>
        <v/>
      </c>
      <c r="H74" s="3" t="n">
        <v>48316.53675041666</v>
      </c>
      <c r="I74" s="3" t="n">
        <v>120791.3418760417</v>
      </c>
      <c r="J74" s="3" t="n">
        <v>129900</v>
      </c>
      <c r="K74" s="3" t="n">
        <v>62221.00840336135</v>
      </c>
      <c r="L74" s="5" t="n">
        <v>0.3474530104072409</v>
      </c>
      <c r="M74" s="3" t="n">
        <v>76215.27731092437</v>
      </c>
      <c r="N74" s="5" t="n">
        <v>0.4672704324436083</v>
      </c>
      <c r="O74" s="3" t="n">
        <v>119418.0344795271</v>
      </c>
      <c r="P74" s="5" t="n">
        <v>0.6599999999999999</v>
      </c>
      <c r="Q74" s="3" t="n">
        <v>83299.99999999999</v>
      </c>
      <c r="R74" s="5" t="n">
        <v>0.512579451103971</v>
      </c>
      <c r="S74" s="3" t="n">
        <v>88.40000000000001</v>
      </c>
      <c r="T74" s="5" t="n">
        <v>0.8687713906818384</v>
      </c>
      <c r="U74" s="6" t="n"/>
    </row>
    <row r="75">
      <c r="A75" s="2" t="inlineStr">
        <is>
          <t>ANCIENT</t>
        </is>
      </c>
      <c r="B75" s="2" t="inlineStr">
        <is>
          <t>FUNGI BLACK T-SHIRT</t>
        </is>
      </c>
      <c r="C75" s="2" t="inlineStr">
        <is>
          <t>28TSH20/FUBL</t>
        </is>
      </c>
      <c r="D75" s="2" t="n">
        <v>8000</v>
      </c>
      <c r="E75" s="3" t="n">
        <v>28862.74509803922</v>
      </c>
      <c r="F75" s="4" t="n">
        <v>11739.386625</v>
      </c>
      <c r="G75" s="3">
        <f>IF(OR(E75="",F75=""),"",E75+F75)</f>
        <v/>
      </c>
      <c r="H75" s="3" t="n">
        <v>48316.53675041666</v>
      </c>
      <c r="I75" s="3" t="n">
        <v>120791.3418760417</v>
      </c>
      <c r="J75" s="3" t="n">
        <v>129900</v>
      </c>
      <c r="K75" s="3" t="n">
        <v>62221.00840336135</v>
      </c>
      <c r="L75" s="5" t="n">
        <v>0.3474530104072409</v>
      </c>
      <c r="M75" s="3" t="n">
        <v>76215.27731092437</v>
      </c>
      <c r="N75" s="5" t="n">
        <v>0.4672704324436083</v>
      </c>
      <c r="O75" s="3" t="n">
        <v>119418.0344795271</v>
      </c>
      <c r="P75" s="5" t="n">
        <v>0.6599999999999999</v>
      </c>
      <c r="Q75" s="3" t="n">
        <v>83299.99999999999</v>
      </c>
      <c r="R75" s="5" t="n">
        <v>0.512579451103971</v>
      </c>
      <c r="S75" s="3" t="n">
        <v>88.40000000000001</v>
      </c>
      <c r="T75" s="5" t="n">
        <v>0.8687713906818384</v>
      </c>
      <c r="U75" s="6" t="n"/>
    </row>
    <row r="76">
      <c r="A76" s="2" t="inlineStr">
        <is>
          <t>ANCIENT</t>
        </is>
      </c>
      <c r="B76" s="2" t="inlineStr">
        <is>
          <t>ANCIENT CARGO PANTS</t>
        </is>
      </c>
      <c r="C76" s="2" t="inlineStr">
        <is>
          <t>28PA25/ANCT</t>
        </is>
      </c>
      <c r="D76" s="2" t="n">
        <v>8000</v>
      </c>
      <c r="E76" s="3" t="n">
        <v>59969.36647619048</v>
      </c>
      <c r="F76" s="4" t="n">
        <v>11739.386625</v>
      </c>
      <c r="G76" s="3">
        <f>IF(OR(E76="",F76=""),"",E76+F76)</f>
        <v/>
      </c>
      <c r="H76" s="3" t="n">
        <v>85333.41619041667</v>
      </c>
      <c r="I76" s="3" t="n">
        <v>213333.5404760416</v>
      </c>
      <c r="J76" s="3" t="n">
        <v>209900</v>
      </c>
      <c r="K76" s="3" t="n">
        <v>100540.3361344538</v>
      </c>
      <c r="L76" s="5" t="n">
        <v>0.2867663282397074</v>
      </c>
      <c r="M76" s="3" t="n">
        <v>123153.0924369748</v>
      </c>
      <c r="N76" s="5" t="n">
        <v>0.4177267360306979</v>
      </c>
      <c r="O76" s="3" t="n">
        <v>210908.0973564426</v>
      </c>
      <c r="P76" s="5" t="n">
        <v>0.66</v>
      </c>
      <c r="Q76" s="3" t="n">
        <v>147000</v>
      </c>
      <c r="R76" s="5" t="n">
        <v>0.512185353053126</v>
      </c>
      <c r="S76" s="3" t="n">
        <v>156</v>
      </c>
      <c r="T76" s="5" t="n">
        <v>0.868665287360457</v>
      </c>
      <c r="U76" s="6" t="n"/>
    </row>
    <row r="77">
      <c r="A77" s="2" t="inlineStr">
        <is>
          <t>ANCIENT</t>
        </is>
      </c>
      <c r="B77" s="2" t="inlineStr">
        <is>
          <t>ANCIENT MESH DRESS</t>
        </is>
      </c>
      <c r="C77" s="2" t="inlineStr">
        <is>
          <t>28VE32/ANCT</t>
        </is>
      </c>
      <c r="D77" s="2" t="n">
        <v>8000</v>
      </c>
      <c r="E77" s="3" t="n">
        <v>50498.71999999999</v>
      </c>
      <c r="F77" s="4" t="n">
        <v>11739.386625</v>
      </c>
      <c r="G77" s="3">
        <f>IF(OR(E77="",F77=""),"",E77+F77)</f>
        <v/>
      </c>
      <c r="H77" s="3" t="n">
        <v>74063.34688374998</v>
      </c>
      <c r="I77" s="3" t="n">
        <v>185158.367209375</v>
      </c>
      <c r="J77" s="3" t="n">
        <v>179900</v>
      </c>
      <c r="K77" s="3" t="n">
        <v>86170.58823529411</v>
      </c>
      <c r="L77" s="5" t="n">
        <v>0.2777337616048877</v>
      </c>
      <c r="M77" s="3" t="n">
        <v>105551.4117647059</v>
      </c>
      <c r="N77" s="5" t="n">
        <v>0.4103526842090891</v>
      </c>
      <c r="O77" s="3" t="n">
        <v>183053.2547794117</v>
      </c>
      <c r="P77" s="5" t="n">
        <v>0.66</v>
      </c>
      <c r="Q77" s="3" t="n">
        <v>120050</v>
      </c>
      <c r="R77" s="5" t="n">
        <v>0.4815651259891712</v>
      </c>
      <c r="S77" s="3" t="n">
        <v>127.4</v>
      </c>
      <c r="T77" s="5" t="n">
        <v>0.8604213800740076</v>
      </c>
      <c r="U77" s="6" t="n"/>
    </row>
    <row r="78">
      <c r="A78" s="2" t="inlineStr">
        <is>
          <t>ANCIENT</t>
        </is>
      </c>
      <c r="B78" s="2" t="inlineStr">
        <is>
          <t>ANCIENT MESH CLASSIC LONG SHIRT</t>
        </is>
      </c>
      <c r="C78" s="2" t="inlineStr">
        <is>
          <t>28CA40/ANCT</t>
        </is>
      </c>
      <c r="D78" s="2" t="n">
        <v>8000</v>
      </c>
      <c r="E78" s="3" t="n">
        <v>41566.525</v>
      </c>
      <c r="F78" s="4" t="n">
        <v>11739.386625</v>
      </c>
      <c r="G78" s="3">
        <f>IF(OR(E78="",F78=""),"",E78+F78)</f>
        <v/>
      </c>
      <c r="H78" s="3" t="n">
        <v>63434.03483375</v>
      </c>
      <c r="I78" s="3" t="n">
        <v>158585.087084375</v>
      </c>
      <c r="J78" s="3" t="n">
        <v>159900</v>
      </c>
      <c r="K78" s="3" t="n">
        <v>76590.75630252101</v>
      </c>
      <c r="L78" s="5" t="n">
        <v>0.3040163826761244</v>
      </c>
      <c r="M78" s="3" t="n">
        <v>93816.95798319328</v>
      </c>
      <c r="N78" s="5" t="n">
        <v>0.4318094215488268</v>
      </c>
      <c r="O78" s="3" t="n">
        <v>156782.0930147059</v>
      </c>
      <c r="P78" s="5" t="n">
        <v>0.6599999999999999</v>
      </c>
      <c r="Q78" s="3" t="n">
        <v>110250</v>
      </c>
      <c r="R78" s="5" t="n">
        <v>0.5164996678004534</v>
      </c>
      <c r="S78" s="3" t="n">
        <v>117</v>
      </c>
      <c r="T78" s="5" t="n">
        <v>0.8698268336385836</v>
      </c>
      <c r="U78" s="6" t="n"/>
    </row>
    <row r="79">
      <c r="A79" s="2" t="inlineStr">
        <is>
          <t>ANCIENT</t>
        </is>
      </c>
      <c r="B79" s="2" t="inlineStr">
        <is>
          <t>ANCIENT MESH PANTS</t>
        </is>
      </c>
      <c r="C79" s="2" t="inlineStr">
        <is>
          <t>28PA23/ANCT</t>
        </is>
      </c>
      <c r="D79" s="2" t="n">
        <v>8000</v>
      </c>
      <c r="E79" s="3" t="n">
        <v>46514.53</v>
      </c>
      <c r="F79" s="4" t="n">
        <v>11739.386625</v>
      </c>
      <c r="G79" s="3">
        <f>IF(OR(E79="",F79=""),"",E79+F79)</f>
        <v/>
      </c>
      <c r="H79" s="3" t="n">
        <v>69322.16078374999</v>
      </c>
      <c r="I79" s="3" t="n">
        <v>173305.401959375</v>
      </c>
      <c r="J79" s="3" t="n">
        <v>179900</v>
      </c>
      <c r="K79" s="3" t="n">
        <v>86170.58823529411</v>
      </c>
      <c r="L79" s="5" t="n">
        <v>0.3239698391528432</v>
      </c>
      <c r="M79" s="3" t="n">
        <v>105551.4117647059</v>
      </c>
      <c r="N79" s="5" t="n">
        <v>0.4480991239145239</v>
      </c>
      <c r="O79" s="3" t="n">
        <v>171335.0488970588</v>
      </c>
      <c r="P79" s="5" t="n">
        <v>0.66</v>
      </c>
      <c r="Q79" s="3" t="n">
        <v>117600</v>
      </c>
      <c r="R79" s="5" t="n">
        <v>0.5046435661139456</v>
      </c>
      <c r="S79" s="3" t="n">
        <v>124.8</v>
      </c>
      <c r="T79" s="5" t="n">
        <v>0.8666348062614468</v>
      </c>
      <c r="U79" s="6" t="n"/>
    </row>
    <row r="80">
      <c r="A80" s="2" t="inlineStr">
        <is>
          <t>ANCIENT</t>
        </is>
      </c>
      <c r="B80" s="2" t="inlineStr">
        <is>
          <t>I'M BLACK MESH KNIT VEST</t>
        </is>
      </c>
      <c r="C80" s="2" t="inlineStr">
        <is>
          <t>28CA42/BLA</t>
        </is>
      </c>
      <c r="D80" s="2" t="n">
        <v>8000</v>
      </c>
      <c r="E80" s="3" t="n">
        <v>30257.5625</v>
      </c>
      <c r="F80" s="4" t="n">
        <v>11739.386625</v>
      </c>
      <c r="G80" s="3">
        <f>IF(OR(E80="",F80=""),"",E80+F80)</f>
        <v/>
      </c>
      <c r="H80" s="3" t="n">
        <v>49976.36945875</v>
      </c>
      <c r="I80" s="3" t="n">
        <v>124940.923646875</v>
      </c>
      <c r="J80" s="3" t="n">
        <v>129900</v>
      </c>
      <c r="K80" s="3" t="n">
        <v>62221.00840336135</v>
      </c>
      <c r="L80" s="5" t="n">
        <v>0.3250358648521805</v>
      </c>
      <c r="M80" s="3" t="n">
        <v>76215.27731092437</v>
      </c>
      <c r="N80" s="5" t="n">
        <v>0.4489694112943897</v>
      </c>
      <c r="O80" s="3" t="n">
        <v>123520.4386029412</v>
      </c>
      <c r="P80" s="5" t="n">
        <v>0.66</v>
      </c>
      <c r="Q80" s="3" t="n">
        <v>83299.99999999999</v>
      </c>
      <c r="R80" s="5" t="n">
        <v>0.495834944477791</v>
      </c>
      <c r="S80" s="3" t="n">
        <v>88.40000000000001</v>
      </c>
      <c r="T80" s="5" t="n">
        <v>0.8642632542824823</v>
      </c>
      <c r="U80" s="6" t="n"/>
    </row>
    <row r="81">
      <c r="A81" s="2" t="inlineStr">
        <is>
          <t>ANCIENT</t>
        </is>
      </c>
      <c r="B81" s="2" t="inlineStr">
        <is>
          <t>I'M BLACK MESH KNIT PANTS</t>
        </is>
      </c>
      <c r="C81" s="2" t="inlineStr">
        <is>
          <t>28PA26/BLA</t>
        </is>
      </c>
      <c r="D81" s="2" t="n">
        <v>8000</v>
      </c>
      <c r="E81" s="3" t="n">
        <v>37731.55</v>
      </c>
      <c r="F81" s="4" t="n">
        <v>11739.386625</v>
      </c>
      <c r="G81" s="3">
        <f>IF(OR(E81="",F81=""),"",E81+F81)</f>
        <v/>
      </c>
      <c r="H81" s="3" t="n">
        <v>58870.41458375</v>
      </c>
      <c r="I81" s="3" t="n">
        <v>147176.036459375</v>
      </c>
      <c r="J81" s="3" t="n">
        <v>149900</v>
      </c>
      <c r="K81" s="3" t="n">
        <v>71800.84033613445</v>
      </c>
      <c r="L81" s="5" t="n">
        <v>0.3109978045743946</v>
      </c>
      <c r="M81" s="3" t="n">
        <v>87949.73109243697</v>
      </c>
      <c r="N81" s="5" t="n">
        <v>0.4375089495952519</v>
      </c>
      <c r="O81" s="3" t="n">
        <v>145502.7547794118</v>
      </c>
      <c r="P81" s="5" t="n">
        <v>0.66</v>
      </c>
      <c r="Q81" s="3" t="n">
        <v>93099.99999999999</v>
      </c>
      <c r="R81" s="5" t="n">
        <v>0.4686258149838882</v>
      </c>
      <c r="S81" s="3" t="n">
        <v>98.8</v>
      </c>
      <c r="T81" s="5" t="n">
        <v>0.8569377194187392</v>
      </c>
      <c r="U81" s="6" t="n"/>
    </row>
    <row r="82">
      <c r="A82" s="2" t="inlineStr">
        <is>
          <t>ANCIENT</t>
        </is>
      </c>
      <c r="B82" s="2" t="inlineStr">
        <is>
          <t>ANCIENT SLEEP LONG SHIRT</t>
        </is>
      </c>
      <c r="C82" s="2" t="inlineStr">
        <is>
          <t>284121/ANCT</t>
        </is>
      </c>
      <c r="D82" s="2" t="n">
        <v>8000</v>
      </c>
      <c r="E82" s="3" t="n">
        <v>26472.475</v>
      </c>
      <c r="F82" s="4" t="n">
        <v>11739.386625</v>
      </c>
      <c r="G82" s="3">
        <f>IF(OR(E82="",F82=""),"",E82+F82)</f>
        <v/>
      </c>
      <c r="H82" s="3" t="n">
        <v>45472.11533374999</v>
      </c>
      <c r="I82" s="3" t="n">
        <v>113680.288334375</v>
      </c>
      <c r="J82" s="3" t="n">
        <v>94950</v>
      </c>
      <c r="K82" s="3" t="n">
        <v>45480.25210084033</v>
      </c>
      <c r="L82" s="5" t="n">
        <v>0.1598142081474091</v>
      </c>
      <c r="M82" s="3" t="n">
        <v>55709.31932773109</v>
      </c>
      <c r="N82" s="5" t="n">
        <v>0.3140849307419409</v>
      </c>
      <c r="O82" s="3" t="n">
        <v>112387.8283088235</v>
      </c>
      <c r="P82" s="5" t="n">
        <v>0.66</v>
      </c>
      <c r="Q82" s="3" t="n">
        <v>46549.99999999999</v>
      </c>
      <c r="R82" s="5" t="n">
        <v>0.1791221992481202</v>
      </c>
      <c r="S82" s="3" t="n">
        <v>49.4</v>
      </c>
      <c r="T82" s="5" t="n">
        <v>0.7789944382591094</v>
      </c>
      <c r="U82" s="6" t="n"/>
    </row>
    <row r="83">
      <c r="A83" s="2" t="inlineStr">
        <is>
          <t>ANCIENT</t>
        </is>
      </c>
      <c r="B83" s="2" t="inlineStr">
        <is>
          <t>ANCIENT SLEEP PANTS</t>
        </is>
      </c>
      <c r="C83" s="2" t="inlineStr">
        <is>
          <t>284323/ANCT</t>
        </is>
      </c>
      <c r="D83" s="2" t="n">
        <v>8000</v>
      </c>
      <c r="E83" s="3" t="n">
        <v>26472.475</v>
      </c>
      <c r="F83" s="4" t="n">
        <v>11739.386625</v>
      </c>
      <c r="G83" s="3">
        <f>IF(OR(E83="",F83=""),"",E83+F83)</f>
        <v/>
      </c>
      <c r="H83" s="3" t="n">
        <v>45472.11533374999</v>
      </c>
      <c r="I83" s="3" t="n">
        <v>113680.288334375</v>
      </c>
      <c r="J83" s="3" t="n">
        <v>94950</v>
      </c>
      <c r="K83" s="3" t="n">
        <v>45480.25210084033</v>
      </c>
      <c r="L83" s="5" t="n">
        <v>0.1598142081474091</v>
      </c>
      <c r="M83" s="3" t="n">
        <v>55709.31932773109</v>
      </c>
      <c r="N83" s="5" t="n">
        <v>0.3140849307419409</v>
      </c>
      <c r="O83" s="3" t="n">
        <v>112387.8283088235</v>
      </c>
      <c r="P83" s="5" t="n">
        <v>0.66</v>
      </c>
      <c r="Q83" s="3" t="n">
        <v>44100</v>
      </c>
      <c r="R83" s="5" t="n">
        <v>0.133517876984127</v>
      </c>
      <c r="S83" s="3" t="n">
        <v>46.8</v>
      </c>
      <c r="T83" s="5" t="n">
        <v>0.7667163514957266</v>
      </c>
      <c r="U83" s="6" t="n"/>
    </row>
    <row r="84">
      <c r="A84" s="2" t="inlineStr">
        <is>
          <t>ANCIENT</t>
        </is>
      </c>
      <c r="B84" s="2" t="inlineStr">
        <is>
          <t>ANCIENT SLEEP SHORT SLEEVELESS SHIRT</t>
        </is>
      </c>
      <c r="C84" s="2" t="inlineStr">
        <is>
          <t>284125/ANCT</t>
        </is>
      </c>
      <c r="D84" s="2" t="n">
        <v>8000</v>
      </c>
      <c r="E84" s="3" t="n">
        <v>20575.8083333333</v>
      </c>
      <c r="F84" s="4" t="n">
        <v>11739.386625</v>
      </c>
      <c r="G84" s="3">
        <f>IF(OR(E84="",F84=""),"",E84+F84)</f>
        <v/>
      </c>
      <c r="H84" s="3" t="n">
        <v>38455.08200041662</v>
      </c>
      <c r="I84" s="3" t="n">
        <v>96137.70500104156</v>
      </c>
      <c r="J84" s="3" t="n">
        <v>89950</v>
      </c>
      <c r="K84" s="3" t="n">
        <v>43085.29411764706</v>
      </c>
      <c r="L84" s="5" t="n">
        <v>0.2499715826450049</v>
      </c>
      <c r="M84" s="3" t="n">
        <v>52775.70588235294</v>
      </c>
      <c r="N84" s="5" t="n">
        <v>0.3876880580172627</v>
      </c>
      <c r="O84" s="3" t="n">
        <v>95044.69105392147</v>
      </c>
      <c r="P84" s="5" t="n">
        <v>0.6599999999999999</v>
      </c>
      <c r="Q84" s="3" t="n">
        <v>36750</v>
      </c>
      <c r="R84" s="5" t="n">
        <v>0.1206749671201823</v>
      </c>
      <c r="S84" s="3" t="n">
        <v>39</v>
      </c>
      <c r="T84" s="5" t="n">
        <v>0.7632586449938952</v>
      </c>
      <c r="U84" s="6" t="n"/>
    </row>
    <row r="85">
      <c r="A85" s="2" t="inlineStr">
        <is>
          <t>ANCIENT</t>
        </is>
      </c>
      <c r="B85" s="2" t="inlineStr">
        <is>
          <t>ANCIENT SLEEP SHORT</t>
        </is>
      </c>
      <c r="C85" s="2" t="inlineStr">
        <is>
          <t>284222/ANCT</t>
        </is>
      </c>
      <c r="D85" s="2" t="n">
        <v>8000</v>
      </c>
      <c r="E85" s="3" t="n">
        <v>20575.8083333333</v>
      </c>
      <c r="F85" s="4" t="n">
        <v>11739.386625</v>
      </c>
      <c r="G85" s="3">
        <f>IF(OR(E85="",F85=""),"",E85+F85)</f>
        <v/>
      </c>
      <c r="H85" s="3" t="n">
        <v>38455.08200041662</v>
      </c>
      <c r="I85" s="3" t="n">
        <v>96137.70500104156</v>
      </c>
      <c r="J85" s="3" t="n">
        <v>89950</v>
      </c>
      <c r="K85" s="3" t="n">
        <v>43085.29411764706</v>
      </c>
      <c r="L85" s="5" t="n">
        <v>0.2499715826450049</v>
      </c>
      <c r="M85" s="3" t="n">
        <v>52775.70588235294</v>
      </c>
      <c r="N85" s="5" t="n">
        <v>0.3876880580172627</v>
      </c>
      <c r="O85" s="3" t="n">
        <v>95044.69105392147</v>
      </c>
      <c r="P85" s="5" t="n">
        <v>0.6599999999999999</v>
      </c>
      <c r="Q85" s="3" t="n">
        <v>39200</v>
      </c>
      <c r="R85" s="5" t="n">
        <v>0.1756327816751709</v>
      </c>
      <c r="S85" s="3" t="n">
        <v>41.6</v>
      </c>
      <c r="T85" s="5" t="n">
        <v>0.7780549796817767</v>
      </c>
      <c r="U85" s="6" t="n"/>
    </row>
    <row r="86">
      <c r="A86" s="2" t="inlineStr">
        <is>
          <t>ANCIENT</t>
        </is>
      </c>
      <c r="B86" s="2" t="inlineStr">
        <is>
          <t>SOLAR TRIANGLE TOP</t>
        </is>
      </c>
      <c r="C86" s="2" t="inlineStr">
        <is>
          <t>283135/SLR</t>
        </is>
      </c>
      <c r="D86" s="2" t="n">
        <v>8000</v>
      </c>
      <c r="E86" s="3" t="n">
        <v>30776.65</v>
      </c>
      <c r="F86" s="4" t="n">
        <v>11739.386625</v>
      </c>
      <c r="G86" s="3">
        <f>IF(OR(E86="",F86=""),"",E86+F86)</f>
        <v/>
      </c>
      <c r="H86" s="3" t="n">
        <v>50594.08358375</v>
      </c>
      <c r="I86" s="3" t="n">
        <v>126485.208959375</v>
      </c>
      <c r="J86" s="3" t="n">
        <v>129900</v>
      </c>
      <c r="K86" s="3" t="n">
        <v>62221.00840336135</v>
      </c>
      <c r="L86" s="5" t="n">
        <v>0.3166932244270221</v>
      </c>
      <c r="M86" s="3" t="n">
        <v>76215.27731092437</v>
      </c>
      <c r="N86" s="5" t="n">
        <v>0.4421586048745383</v>
      </c>
      <c r="O86" s="3" t="n">
        <v>125047.1665441176</v>
      </c>
      <c r="P86" s="5" t="n">
        <v>0.6599999999999999</v>
      </c>
      <c r="Q86" s="3" t="n">
        <v>78400</v>
      </c>
      <c r="R86" s="5" t="n">
        <v>0.4577036144770408</v>
      </c>
      <c r="S86" s="3" t="n">
        <v>83.2</v>
      </c>
      <c r="T86" s="5" t="n">
        <v>0.8539971269745879</v>
      </c>
      <c r="U86" s="6" t="n"/>
    </row>
    <row r="87">
      <c r="A87" s="2" t="inlineStr">
        <is>
          <t>ANCIENT</t>
        </is>
      </c>
      <c r="B87" s="2" t="inlineStr">
        <is>
          <t>SOLAR STRAP TIE SIDE BOTTOM</t>
        </is>
      </c>
      <c r="C87" s="2" t="inlineStr">
        <is>
          <t>283236/SLR</t>
        </is>
      </c>
      <c r="D87" s="2" t="n">
        <v>8000</v>
      </c>
      <c r="E87" s="3" t="n">
        <v>28958.3</v>
      </c>
      <c r="F87" s="4" t="n">
        <v>11739.386625</v>
      </c>
      <c r="G87" s="3">
        <f>IF(OR(E87="",F87=""),"",E87+F87)</f>
        <v/>
      </c>
      <c r="H87" s="3" t="n">
        <v>48430.24708375</v>
      </c>
      <c r="I87" s="3" t="n">
        <v>121075.617709375</v>
      </c>
      <c r="J87" s="3" t="n">
        <v>119900</v>
      </c>
      <c r="K87" s="3" t="n">
        <v>57431.09243697478</v>
      </c>
      <c r="L87" s="5" t="n">
        <v>0.2913649227609263</v>
      </c>
      <c r="M87" s="3" t="n">
        <v>70348.05042016806</v>
      </c>
      <c r="N87" s="5" t="n">
        <v>0.4214809595727987</v>
      </c>
      <c r="O87" s="3" t="n">
        <v>119699.0783088235</v>
      </c>
      <c r="P87" s="5" t="n">
        <v>0.66</v>
      </c>
      <c r="Q87" s="3" t="n">
        <v>78400</v>
      </c>
      <c r="R87" s="5" t="n">
        <v>0.4808968542729591</v>
      </c>
      <c r="S87" s="3" t="n">
        <v>83.2</v>
      </c>
      <c r="T87" s="5" t="n">
        <v>0.8602414607657967</v>
      </c>
      <c r="U87" s="6" t="n"/>
    </row>
    <row r="88">
      <c r="A88" s="2" t="inlineStr">
        <is>
          <t>ANCIENT</t>
        </is>
      </c>
      <c r="B88" s="2" t="inlineStr">
        <is>
          <t>SOLAR ONE SHOULDER ONE PIECE</t>
        </is>
      </c>
      <c r="C88" s="2" t="inlineStr">
        <is>
          <t>283326/SLR</t>
        </is>
      </c>
      <c r="D88" s="2" t="n">
        <v>8000</v>
      </c>
      <c r="E88" s="3" t="n">
        <v>51279.725</v>
      </c>
      <c r="F88" s="4" t="n">
        <v>11739.386625</v>
      </c>
      <c r="G88" s="3">
        <f>IF(OR(E88="",F88=""),"",E88+F88)</f>
        <v/>
      </c>
      <c r="H88" s="3" t="n">
        <v>74992.74283374999</v>
      </c>
      <c r="I88" s="3" t="n">
        <v>187481.857084375</v>
      </c>
      <c r="J88" s="3" t="n">
        <v>199900</v>
      </c>
      <c r="K88" s="3" t="n">
        <v>95750.42016806723</v>
      </c>
      <c r="L88" s="5" t="n">
        <v>0.341839842432181</v>
      </c>
      <c r="M88" s="3" t="n">
        <v>117285.8655462185</v>
      </c>
      <c r="N88" s="5" t="n">
        <v>0.4626879263625654</v>
      </c>
      <c r="O88" s="3" t="n">
        <v>185350.3283088235</v>
      </c>
      <c r="P88" s="5" t="n">
        <v>0.66</v>
      </c>
      <c r="Q88" s="3" t="n">
        <v>132300</v>
      </c>
      <c r="R88" s="5" t="n">
        <v>0.5236650670823886</v>
      </c>
      <c r="S88" s="3" t="n">
        <v>140.4</v>
      </c>
      <c r="T88" s="5" t="n">
        <v>0.8717559795991046</v>
      </c>
      <c r="U88" s="6" t="n"/>
    </row>
    <row r="89">
      <c r="A89" s="2" t="inlineStr">
        <is>
          <t>ANCIENT</t>
        </is>
      </c>
      <c r="B89" s="2" t="inlineStr">
        <is>
          <t>SOLAR PAREO</t>
        </is>
      </c>
      <c r="C89" s="2" t="inlineStr">
        <is>
          <t>28RE22/SLR</t>
        </is>
      </c>
      <c r="D89" s="2" t="n">
        <v>8000</v>
      </c>
      <c r="E89" s="3" t="n">
        <v>31578.17142857143</v>
      </c>
      <c r="F89" s="4" t="n">
        <v>11739.386625</v>
      </c>
      <c r="G89" s="3">
        <f>IF(OR(E89="",F89=""),"",E89+F89)</f>
        <v/>
      </c>
      <c r="H89" s="3" t="n">
        <v>51547.89408374999</v>
      </c>
      <c r="I89" s="3" t="n">
        <v>128869.735209375</v>
      </c>
      <c r="J89" s="3" t="n">
        <v>139900</v>
      </c>
      <c r="K89" s="3" t="n">
        <v>67010.9243697479</v>
      </c>
      <c r="L89" s="5" t="n">
        <v>0.3535746826210451</v>
      </c>
      <c r="M89" s="3" t="n">
        <v>82082.50420168067</v>
      </c>
      <c r="N89" s="5" t="n">
        <v>0.4722680737525004</v>
      </c>
      <c r="O89" s="3" t="n">
        <v>127404.5825105042</v>
      </c>
      <c r="P89" s="5" t="n">
        <v>0.66</v>
      </c>
      <c r="Q89" s="3" t="n">
        <v>88200</v>
      </c>
      <c r="R89" s="5" t="n">
        <v>0.5088712238824101</v>
      </c>
      <c r="S89" s="3" t="n">
        <v>93.60000000000001</v>
      </c>
      <c r="T89" s="5" t="n">
        <v>0.867773021814495</v>
      </c>
      <c r="U89" s="6" t="n"/>
    </row>
    <row r="90">
      <c r="A90" s="2" t="inlineStr">
        <is>
          <t>ANCIENT</t>
        </is>
      </c>
      <c r="B90" s="2" t="inlineStr">
        <is>
          <t>SOLAR HEADKERCHIEF</t>
        </is>
      </c>
      <c r="C90" s="2" t="inlineStr">
        <is>
          <t>28KE21/SLR</t>
        </is>
      </c>
      <c r="D90" s="2" t="n">
        <v>8000</v>
      </c>
      <c r="E90" s="3" t="n">
        <v>19794.12</v>
      </c>
      <c r="F90" s="4" t="n">
        <v>3159.75</v>
      </c>
      <c r="G90" s="3">
        <f>IF(OR(E90="",F90=""),"",E90+F90)</f>
        <v/>
      </c>
      <c r="H90" s="3" t="n">
        <v>27315.1053</v>
      </c>
      <c r="I90" s="3" t="n">
        <v>68287.76324999999</v>
      </c>
      <c r="J90" s="3" t="n">
        <v>59900</v>
      </c>
      <c r="K90" s="3" t="n">
        <v>28691.59663865546</v>
      </c>
      <c r="L90" s="5" t="n">
        <v>0.1999793427642562</v>
      </c>
      <c r="M90" s="3" t="n">
        <v>35144.68907563025</v>
      </c>
      <c r="N90" s="5" t="n">
        <v>0.3468751437634289</v>
      </c>
      <c r="O90" s="3" t="n">
        <v>67511.38235294117</v>
      </c>
      <c r="P90" s="5" t="n">
        <v>0.66</v>
      </c>
      <c r="Q90" s="3" t="n">
        <v>39200</v>
      </c>
      <c r="R90" s="5" t="n">
        <v>0.4144420918367347</v>
      </c>
      <c r="S90" s="3" t="n">
        <v>41.6</v>
      </c>
      <c r="T90" s="5" t="n">
        <v>0.842349793956044</v>
      </c>
      <c r="U90" s="6" t="n"/>
    </row>
    <row r="91">
      <c r="A91" s="2" t="inlineStr">
        <is>
          <t>ANCIENT</t>
        </is>
      </c>
      <c r="B91" s="2" t="inlineStr">
        <is>
          <t>SOLAR MESH SHIRT</t>
        </is>
      </c>
      <c r="C91" s="2" t="inlineStr">
        <is>
          <t>28CA36/SLR</t>
        </is>
      </c>
      <c r="D91" s="2" t="n">
        <v>8000</v>
      </c>
      <c r="E91" s="3" t="n">
        <v>32455.55913978495</v>
      </c>
      <c r="F91" s="4" t="n">
        <v>11739.386625</v>
      </c>
      <c r="G91" s="3">
        <f>IF(OR(E91="",F91=""),"",E91+F91)</f>
        <v/>
      </c>
      <c r="H91" s="3" t="n">
        <v>52591.98546009409</v>
      </c>
      <c r="I91" s="3" t="n">
        <v>131479.9636502352</v>
      </c>
      <c r="J91" s="3" t="n">
        <v>129900</v>
      </c>
      <c r="K91" s="3" t="n">
        <v>62221.00840336135</v>
      </c>
      <c r="L91" s="5" t="n">
        <v>0.2897102297301016</v>
      </c>
      <c r="M91" s="3" t="n">
        <v>76215.27731092437</v>
      </c>
      <c r="N91" s="5" t="n">
        <v>0.4201300930194184</v>
      </c>
      <c r="O91" s="3" t="n">
        <v>129985.1346023087</v>
      </c>
      <c r="P91" s="5" t="n">
        <v>0.66</v>
      </c>
      <c r="Q91" s="3" t="n">
        <v>95549.99999999999</v>
      </c>
      <c r="R91" s="5" t="n">
        <v>0.5374678622209842</v>
      </c>
      <c r="S91" s="3" t="n">
        <v>101.4</v>
      </c>
      <c r="T91" s="5" t="n">
        <v>0.8754721167518035</v>
      </c>
      <c r="U91" s="6" t="n"/>
    </row>
    <row r="92">
      <c r="A92" s="2" t="inlineStr">
        <is>
          <t>ANCIENT</t>
        </is>
      </c>
      <c r="B92" s="2" t="inlineStr">
        <is>
          <t>SOLAR MESH LONG SHIRT</t>
        </is>
      </c>
      <c r="C92" s="2" t="inlineStr">
        <is>
          <t>28CA32/SLR</t>
        </is>
      </c>
      <c r="D92" s="2" t="n">
        <v>8000</v>
      </c>
      <c r="E92" s="3" t="n">
        <v>28668.93333333333</v>
      </c>
      <c r="F92" s="4" t="n">
        <v>11739.386625</v>
      </c>
      <c r="G92" s="3">
        <f>IF(OR(E92="",F92=""),"",E92+F92)</f>
        <v/>
      </c>
      <c r="H92" s="3" t="n">
        <v>48085.90075041667</v>
      </c>
      <c r="I92" s="3" t="n">
        <v>120214.7518760417</v>
      </c>
      <c r="J92" s="3" t="n">
        <v>119900</v>
      </c>
      <c r="K92" s="3" t="n">
        <v>57431.09243697478</v>
      </c>
      <c r="L92" s="5" t="n">
        <v>0.2964034246313935</v>
      </c>
      <c r="M92" s="3" t="n">
        <v>70348.05042016806</v>
      </c>
      <c r="N92" s="5" t="n">
        <v>0.4255943168718051</v>
      </c>
      <c r="O92" s="3" t="n">
        <v>118847.999877451</v>
      </c>
      <c r="P92" s="5" t="n">
        <v>0.66</v>
      </c>
      <c r="Q92" s="3" t="n">
        <v>93099.99999999999</v>
      </c>
      <c r="R92" s="5" t="n">
        <v>0.5659686363229501</v>
      </c>
      <c r="S92" s="3" t="n">
        <v>98.8</v>
      </c>
      <c r="T92" s="5" t="n">
        <v>0.8831454020869481</v>
      </c>
      <c r="U92" s="6" t="n"/>
    </row>
    <row r="93">
      <c r="A93" s="2" t="inlineStr">
        <is>
          <t>ANCIENT</t>
        </is>
      </c>
      <c r="B93" s="2" t="inlineStr">
        <is>
          <t>SOLAR T-SHIRT</t>
        </is>
      </c>
      <c r="C93" s="2" t="inlineStr">
        <is>
          <t>28TSH20/SLR</t>
        </is>
      </c>
      <c r="D93" s="2" t="n">
        <v>8000</v>
      </c>
      <c r="E93" s="3" t="n">
        <v>45246.11764705883</v>
      </c>
      <c r="F93" s="4" t="n">
        <v>11739.386625</v>
      </c>
      <c r="G93" s="3">
        <f>IF(OR(E93="",F93=""),"",E93+F93)</f>
        <v/>
      </c>
      <c r="H93" s="3" t="n">
        <v>67812.75008375</v>
      </c>
      <c r="I93" s="3" t="n">
        <v>169531.875209375</v>
      </c>
      <c r="J93" s="3" t="n">
        <v>139900</v>
      </c>
      <c r="K93" s="3" t="n">
        <v>67010.9243697479</v>
      </c>
      <c r="L93" s="5" t="n">
        <v>0.1496087420369185</v>
      </c>
      <c r="M93" s="3" t="n">
        <v>82082.50420168067</v>
      </c>
      <c r="N93" s="5" t="n">
        <v>0.3057533413936459</v>
      </c>
      <c r="O93" s="3" t="n">
        <v>167604.4243295848</v>
      </c>
      <c r="P93" s="5" t="n">
        <v>0.6599999999999999</v>
      </c>
      <c r="Q93" s="3" t="n">
        <v>83299.99999999999</v>
      </c>
      <c r="R93" s="5" t="n">
        <v>0.3159003088588375</v>
      </c>
      <c r="S93" s="3" t="n">
        <v>88.40000000000001</v>
      </c>
      <c r="T93" s="5" t="n">
        <v>0.8158193139235331</v>
      </c>
      <c r="U93" s="6" t="n"/>
    </row>
    <row r="94">
      <c r="A94" s="2" t="inlineStr">
        <is>
          <t>ANCIENT</t>
        </is>
      </c>
      <c r="B94" s="2" t="inlineStr">
        <is>
          <t>SHINE SOULS T-SHIRT</t>
        </is>
      </c>
      <c r="C94" s="2" t="inlineStr">
        <is>
          <t>28TSH20/SHSL</t>
        </is>
      </c>
      <c r="D94" s="2" t="n">
        <v>8000</v>
      </c>
      <c r="E94" s="3" t="n">
        <v>28862.74509803922</v>
      </c>
      <c r="F94" s="4" t="n">
        <v>11739.386625</v>
      </c>
      <c r="G94" s="3">
        <f>IF(OR(E94="",F94=""),"",E94+F94)</f>
        <v/>
      </c>
      <c r="H94" s="3" t="n">
        <v>48316.53675041666</v>
      </c>
      <c r="I94" s="3" t="n">
        <v>120791.3418760417</v>
      </c>
      <c r="J94" s="3" t="n">
        <v>129900</v>
      </c>
      <c r="K94" s="3" t="n">
        <v>62221.00840336135</v>
      </c>
      <c r="L94" s="5" t="n">
        <v>0.3474530104072409</v>
      </c>
      <c r="M94" s="3" t="n">
        <v>76215.27731092437</v>
      </c>
      <c r="N94" s="5" t="n">
        <v>0.4672704324436083</v>
      </c>
      <c r="O94" s="3" t="n">
        <v>119418.0344795271</v>
      </c>
      <c r="P94" s="5" t="n">
        <v>0.6599999999999999</v>
      </c>
      <c r="Q94" s="3" t="n">
        <v>83299.99999999999</v>
      </c>
      <c r="R94" s="5" t="n">
        <v>0.512579451103971</v>
      </c>
      <c r="S94" s="3" t="n">
        <v>88.40000000000001</v>
      </c>
      <c r="T94" s="5" t="n">
        <v>0.8687713906818384</v>
      </c>
      <c r="U94" s="6" t="n"/>
    </row>
    <row r="95">
      <c r="A95" s="2" t="inlineStr">
        <is>
          <t>ANCIENT</t>
        </is>
      </c>
      <c r="B95" s="2" t="inlineStr">
        <is>
          <t>SOLAR MESH DRESS</t>
        </is>
      </c>
      <c r="C95" s="2" t="inlineStr">
        <is>
          <t>28VE32/SLR</t>
        </is>
      </c>
      <c r="D95" s="2" t="n">
        <v>8000</v>
      </c>
      <c r="E95" s="3" t="n">
        <v>50498.71999999999</v>
      </c>
      <c r="F95" s="4" t="n">
        <v>11739.386625</v>
      </c>
      <c r="G95" s="3">
        <f>IF(OR(E95="",F95=""),"",E95+F95)</f>
        <v/>
      </c>
      <c r="H95" s="3" t="n">
        <v>74063.34688374998</v>
      </c>
      <c r="I95" s="3" t="n">
        <v>185158.367209375</v>
      </c>
      <c r="J95" s="3" t="n">
        <v>179900</v>
      </c>
      <c r="K95" s="3" t="n">
        <v>86170.58823529411</v>
      </c>
      <c r="L95" s="5" t="n">
        <v>0.2777337616048877</v>
      </c>
      <c r="M95" s="3" t="n">
        <v>105551.4117647059</v>
      </c>
      <c r="N95" s="5" t="n">
        <v>0.4103526842090891</v>
      </c>
      <c r="O95" s="3" t="n">
        <v>183053.2547794117</v>
      </c>
      <c r="P95" s="5" t="n">
        <v>0.66</v>
      </c>
      <c r="Q95" s="3" t="n">
        <v>120050</v>
      </c>
      <c r="R95" s="5" t="n">
        <v>0.4815651259891712</v>
      </c>
      <c r="S95" s="3" t="n">
        <v>127.4</v>
      </c>
      <c r="T95" s="5" t="n">
        <v>0.8604213800740076</v>
      </c>
      <c r="U95" s="6" t="n"/>
    </row>
    <row r="96">
      <c r="A96" s="2" t="inlineStr">
        <is>
          <t>ANCIENT</t>
        </is>
      </c>
      <c r="B96" s="2" t="inlineStr">
        <is>
          <t>SOLAR DRAPED MESH DRESS</t>
        </is>
      </c>
      <c r="C96" s="2" t="inlineStr">
        <is>
          <t>28VE38/SLR</t>
        </is>
      </c>
      <c r="D96" s="2" t="n">
        <v>8000</v>
      </c>
      <c r="E96" s="3" t="n">
        <v>76119.08333333333</v>
      </c>
      <c r="F96" s="4" t="n">
        <v>11739.386625</v>
      </c>
      <c r="G96" s="3">
        <f>IF(OR(E96="",F96=""),"",E96+F96)</f>
        <v/>
      </c>
      <c r="H96" s="3" t="n">
        <v>104551.5792504167</v>
      </c>
      <c r="I96" s="3" t="n">
        <v>261378.9481260416</v>
      </c>
      <c r="J96" s="3" t="n">
        <v>219900</v>
      </c>
      <c r="K96" s="3" t="n">
        <v>105330.2521008403</v>
      </c>
      <c r="L96" s="5" t="n">
        <v>0.165876201699204</v>
      </c>
      <c r="M96" s="3" t="n">
        <v>129020.3193277311</v>
      </c>
      <c r="N96" s="5" t="n">
        <v>0.3190338512869468</v>
      </c>
      <c r="O96" s="3" t="n">
        <v>258407.2645833333</v>
      </c>
      <c r="P96" s="5" t="n">
        <v>0.66</v>
      </c>
      <c r="Q96" s="3" t="n">
        <v>147000</v>
      </c>
      <c r="R96" s="5" t="n">
        <v>0.4023233336167801</v>
      </c>
      <c r="S96" s="3" t="n">
        <v>156</v>
      </c>
      <c r="T96" s="5" t="n">
        <v>0.8390870513583639</v>
      </c>
      <c r="U96" s="6" t="n"/>
    </row>
    <row r="97">
      <c r="A97" s="2" t="inlineStr">
        <is>
          <t>ANCIENT</t>
        </is>
      </c>
      <c r="B97" s="2" t="inlineStr">
        <is>
          <t>I'M BLACK CARGO PANTS</t>
        </is>
      </c>
      <c r="C97" s="2" t="inlineStr">
        <is>
          <t>28PA25/BLA</t>
        </is>
      </c>
      <c r="D97" s="2" t="n">
        <v>8000</v>
      </c>
      <c r="E97" s="3" t="n">
        <v>66239.20774603175</v>
      </c>
      <c r="F97" s="4" t="n">
        <v>11739.386625</v>
      </c>
      <c r="G97" s="3">
        <f>IF(OR(E97="",F97=""),"",E97+F97)</f>
        <v/>
      </c>
      <c r="H97" s="3" t="n">
        <v>92794.52730152778</v>
      </c>
      <c r="I97" s="3" t="n">
        <v>231986.3182538195</v>
      </c>
      <c r="J97" s="3" t="n">
        <v>209900</v>
      </c>
      <c r="K97" s="3" t="n">
        <v>100540.3361344538</v>
      </c>
      <c r="L97" s="5" t="n">
        <v>0.2244048769963325</v>
      </c>
      <c r="M97" s="3" t="n">
        <v>123153.0924369748</v>
      </c>
      <c r="N97" s="5" t="n">
        <v>0.3668157832825975</v>
      </c>
      <c r="O97" s="3" t="n">
        <v>229348.8069736228</v>
      </c>
      <c r="P97" s="5" t="n">
        <v>0.6599999999999999</v>
      </c>
      <c r="Q97" s="3" t="n">
        <v>147000</v>
      </c>
      <c r="R97" s="5" t="n">
        <v>0.4695333716256344</v>
      </c>
      <c r="S97" s="3" t="n">
        <v>156</v>
      </c>
      <c r="T97" s="5" t="n">
        <v>0.857182061591517</v>
      </c>
      <c r="U97" s="6" t="n"/>
    </row>
    <row r="98">
      <c r="A98" s="2" t="inlineStr">
        <is>
          <t>ANCIENT</t>
        </is>
      </c>
      <c r="B98" s="2" t="inlineStr">
        <is>
          <t>SOLAR SLEEP SHORT SLEEVELESS SHIRT</t>
        </is>
      </c>
      <c r="C98" s="2" t="inlineStr">
        <is>
          <t>284125/SLR</t>
        </is>
      </c>
      <c r="D98" s="2" t="n">
        <v>8000</v>
      </c>
      <c r="E98" s="3" t="n">
        <v>20575.8083333333</v>
      </c>
      <c r="F98" s="4" t="n">
        <v>11739.386625</v>
      </c>
      <c r="G98" s="3">
        <f>IF(OR(E98="",F98=""),"",E98+F98)</f>
        <v/>
      </c>
      <c r="H98" s="3" t="n">
        <v>38455.08200041662</v>
      </c>
      <c r="I98" s="3" t="n">
        <v>96137.70500104156</v>
      </c>
      <c r="J98" s="3" t="n">
        <v>89950</v>
      </c>
      <c r="K98" s="3" t="n">
        <v>43085.29411764706</v>
      </c>
      <c r="L98" s="5" t="n">
        <v>0.2499715826450049</v>
      </c>
      <c r="M98" s="3" t="n">
        <v>52775.70588235294</v>
      </c>
      <c r="N98" s="5" t="n">
        <v>0.3876880580172627</v>
      </c>
      <c r="O98" s="3" t="n">
        <v>95044.69105392147</v>
      </c>
      <c r="P98" s="5" t="n">
        <v>0.6599999999999999</v>
      </c>
      <c r="Q98" s="3" t="n">
        <v>36750</v>
      </c>
      <c r="R98" s="5" t="n">
        <v>0.1206749671201823</v>
      </c>
      <c r="S98" s="3" t="n">
        <v>39</v>
      </c>
      <c r="T98" s="5" t="n">
        <v>0.7632586449938952</v>
      </c>
      <c r="U98" s="6" t="n"/>
    </row>
    <row r="99">
      <c r="A99" s="2" t="inlineStr">
        <is>
          <t>ANCIENT</t>
        </is>
      </c>
      <c r="B99" s="2" t="inlineStr">
        <is>
          <t>SOLAR SLEEP SHORT</t>
        </is>
      </c>
      <c r="C99" s="2" t="inlineStr">
        <is>
          <t>284222/SLR</t>
        </is>
      </c>
      <c r="D99" s="2" t="n">
        <v>8000</v>
      </c>
      <c r="E99" s="3" t="n">
        <v>20575.8083333333</v>
      </c>
      <c r="F99" s="4" t="n">
        <v>11739.386625</v>
      </c>
      <c r="G99" s="3">
        <f>IF(OR(E99="",F99=""),"",E99+F99)</f>
        <v/>
      </c>
      <c r="H99" s="3" t="n">
        <v>38455.08200041662</v>
      </c>
      <c r="I99" s="3" t="n">
        <v>96137.70500104156</v>
      </c>
      <c r="J99" s="3" t="n">
        <v>89950</v>
      </c>
      <c r="K99" s="3" t="n">
        <v>43085.29411764706</v>
      </c>
      <c r="L99" s="5" t="n">
        <v>0.2499715826450049</v>
      </c>
      <c r="M99" s="3" t="n">
        <v>52775.70588235294</v>
      </c>
      <c r="N99" s="5" t="n">
        <v>0.3876880580172627</v>
      </c>
      <c r="O99" s="3" t="n">
        <v>95044.69105392147</v>
      </c>
      <c r="P99" s="5" t="n">
        <v>0.6599999999999999</v>
      </c>
      <c r="Q99" s="3" t="n">
        <v>39200</v>
      </c>
      <c r="R99" s="5" t="n">
        <v>0.1756327816751709</v>
      </c>
      <c r="S99" s="3" t="n">
        <v>41.6</v>
      </c>
      <c r="T99" s="5" t="n">
        <v>0.7780549796817767</v>
      </c>
      <c r="U99" s="6" t="n"/>
    </row>
    <row r="100">
      <c r="A100" s="2" t="inlineStr">
        <is>
          <t>ANCIENT</t>
        </is>
      </c>
      <c r="B100" s="2" t="inlineStr">
        <is>
          <t>JADE TRIANGLE TOP</t>
        </is>
      </c>
      <c r="C100" s="2" t="inlineStr">
        <is>
          <t>283135/JAD</t>
        </is>
      </c>
      <c r="D100" s="2" t="n">
        <v>8000</v>
      </c>
      <c r="E100" s="3" t="n">
        <v>30776.65</v>
      </c>
      <c r="F100" s="4" t="n">
        <v>11739.386625</v>
      </c>
      <c r="G100" s="3">
        <f>IF(OR(E100="",F100=""),"",E100+F100)</f>
        <v/>
      </c>
      <c r="H100" s="3" t="n">
        <v>50594.08358375</v>
      </c>
      <c r="I100" s="3" t="n">
        <v>126485.208959375</v>
      </c>
      <c r="J100" s="3" t="n">
        <v>129900</v>
      </c>
      <c r="K100" s="3" t="n">
        <v>62221.00840336135</v>
      </c>
      <c r="L100" s="5" t="n">
        <v>0.3166932244270221</v>
      </c>
      <c r="M100" s="3" t="n">
        <v>76215.27731092437</v>
      </c>
      <c r="N100" s="5" t="n">
        <v>0.4421586048745383</v>
      </c>
      <c r="O100" s="3" t="n">
        <v>125047.1665441176</v>
      </c>
      <c r="P100" s="5" t="n">
        <v>0.6599999999999999</v>
      </c>
      <c r="Q100" s="3" t="n">
        <v>78400</v>
      </c>
      <c r="R100" s="5" t="n">
        <v>0.4577036144770408</v>
      </c>
      <c r="S100" s="3" t="n">
        <v>83.2</v>
      </c>
      <c r="T100" s="5" t="n">
        <v>0.8539971269745879</v>
      </c>
      <c r="U100" s="6" t="n"/>
    </row>
    <row r="101">
      <c r="A101" s="2" t="inlineStr">
        <is>
          <t>ANCIENT</t>
        </is>
      </c>
      <c r="B101" s="2" t="inlineStr">
        <is>
          <t>JADE STRAP TIE SIDE BOTTOM</t>
        </is>
      </c>
      <c r="C101" s="2" t="inlineStr">
        <is>
          <t>283236/JAD</t>
        </is>
      </c>
      <c r="D101" s="2" t="n">
        <v>8000</v>
      </c>
      <c r="E101" s="3" t="n">
        <v>28958.3</v>
      </c>
      <c r="F101" s="4" t="n">
        <v>11739.386625</v>
      </c>
      <c r="G101" s="3">
        <f>IF(OR(E101="",F101=""),"",E101+F101)</f>
        <v/>
      </c>
      <c r="H101" s="3" t="n">
        <v>48430.24708375</v>
      </c>
      <c r="I101" s="3" t="n">
        <v>121075.617709375</v>
      </c>
      <c r="J101" s="3" t="n">
        <v>119900</v>
      </c>
      <c r="K101" s="3" t="n">
        <v>57431.09243697478</v>
      </c>
      <c r="L101" s="5" t="n">
        <v>0.2913649227609263</v>
      </c>
      <c r="M101" s="3" t="n">
        <v>70348.05042016806</v>
      </c>
      <c r="N101" s="5" t="n">
        <v>0.4214809595727987</v>
      </c>
      <c r="O101" s="3" t="n">
        <v>119699.0783088235</v>
      </c>
      <c r="P101" s="5" t="n">
        <v>0.66</v>
      </c>
      <c r="Q101" s="3" t="n">
        <v>78400</v>
      </c>
      <c r="R101" s="5" t="n">
        <v>0.4808968542729591</v>
      </c>
      <c r="S101" s="3" t="n">
        <v>83.2</v>
      </c>
      <c r="T101" s="5" t="n">
        <v>0.8602414607657967</v>
      </c>
      <c r="U101" s="6" t="n"/>
    </row>
    <row r="102">
      <c r="A102" s="2" t="inlineStr">
        <is>
          <t>ANCIENT</t>
        </is>
      </c>
      <c r="B102" s="2" t="inlineStr">
        <is>
          <t>JADE V NECK BRALETTE TOP</t>
        </is>
      </c>
      <c r="C102" s="2" t="inlineStr">
        <is>
          <t>283154/JAD</t>
        </is>
      </c>
      <c r="D102" s="2" t="n">
        <v>8000</v>
      </c>
      <c r="E102" s="3" t="n">
        <v>35406.0625</v>
      </c>
      <c r="F102" s="4" t="n">
        <v>11739.386625</v>
      </c>
      <c r="G102" s="3">
        <f>IF(OR(E102="",F102=""),"",E102+F102)</f>
        <v/>
      </c>
      <c r="H102" s="3" t="n">
        <v>56103.08445875</v>
      </c>
      <c r="I102" s="3" t="n">
        <v>140257.711146875</v>
      </c>
      <c r="J102" s="3" t="n">
        <v>139900</v>
      </c>
      <c r="K102" s="3" t="n">
        <v>67010.9243697479</v>
      </c>
      <c r="L102" s="5" t="n">
        <v>0.2964512940477534</v>
      </c>
      <c r="M102" s="3" t="n">
        <v>82082.50420168067</v>
      </c>
      <c r="N102" s="5" t="n">
        <v>0.4256333967448001</v>
      </c>
      <c r="O102" s="3" t="n">
        <v>138663.0856617647</v>
      </c>
      <c r="P102" s="5" t="n">
        <v>0.6599999999999999</v>
      </c>
      <c r="Q102" s="3" t="n">
        <v>78400</v>
      </c>
      <c r="R102" s="5" t="n">
        <v>0.3986549856505102</v>
      </c>
      <c r="S102" s="3" t="n">
        <v>83.2</v>
      </c>
      <c r="T102" s="5" t="n">
        <v>0.838099419213599</v>
      </c>
      <c r="U102" s="6" t="n"/>
    </row>
    <row r="103">
      <c r="A103" s="2" t="inlineStr">
        <is>
          <t>ANCIENT</t>
        </is>
      </c>
      <c r="B103" s="2" t="inlineStr">
        <is>
          <t>JADE HIGH WAIST BOTTOM</t>
        </is>
      </c>
      <c r="C103" s="2" t="inlineStr">
        <is>
          <t>283223/JAD</t>
        </is>
      </c>
      <c r="D103" s="2" t="n">
        <v>8000</v>
      </c>
      <c r="E103" s="3" t="n">
        <v>22473.125</v>
      </c>
      <c r="F103" s="4" t="n">
        <v>11739.386625</v>
      </c>
      <c r="G103" s="3">
        <f>IF(OR(E103="",F103=""),"",E103+F103)</f>
        <v/>
      </c>
      <c r="H103" s="3" t="n">
        <v>40712.88883375</v>
      </c>
      <c r="I103" s="3" t="n">
        <v>101782.222084375</v>
      </c>
      <c r="J103" s="3" t="n">
        <v>109900</v>
      </c>
      <c r="K103" s="3" t="n">
        <v>52641.17647058823</v>
      </c>
      <c r="L103" s="5" t="n">
        <v>0.3500807938037769</v>
      </c>
      <c r="M103" s="3" t="n">
        <v>64480.82352941175</v>
      </c>
      <c r="N103" s="5" t="n">
        <v>0.4694157153654437</v>
      </c>
      <c r="O103" s="3" t="n">
        <v>100625.0341911765</v>
      </c>
      <c r="P103" s="5" t="n">
        <v>0.6599999999999999</v>
      </c>
      <c r="Q103" s="3" t="n">
        <v>78400</v>
      </c>
      <c r="R103" s="5" t="n">
        <v>0.5636159231505102</v>
      </c>
      <c r="S103" s="3" t="n">
        <v>83.2</v>
      </c>
      <c r="T103" s="5" t="n">
        <v>0.8825119793097528</v>
      </c>
      <c r="U103" s="6" t="n"/>
    </row>
    <row r="104">
      <c r="A104" s="2" t="inlineStr">
        <is>
          <t>ANCIENT</t>
        </is>
      </c>
      <c r="B104" s="2" t="inlineStr">
        <is>
          <t>JADE ONE SHOULDER ONE PIECE</t>
        </is>
      </c>
      <c r="C104" s="2" t="inlineStr">
        <is>
          <t>283326/JAD</t>
        </is>
      </c>
      <c r="D104" s="2" t="n">
        <v>8000</v>
      </c>
      <c r="E104" s="3" t="n">
        <v>51279.725</v>
      </c>
      <c r="F104" s="4" t="n">
        <v>11739.386625</v>
      </c>
      <c r="G104" s="3">
        <f>IF(OR(E104="",F104=""),"",E104+F104)</f>
        <v/>
      </c>
      <c r="H104" s="3" t="n">
        <v>74992.74283374999</v>
      </c>
      <c r="I104" s="3" t="n">
        <v>187481.857084375</v>
      </c>
      <c r="J104" s="3" t="n">
        <v>199900</v>
      </c>
      <c r="K104" s="3" t="n">
        <v>95750.42016806723</v>
      </c>
      <c r="L104" s="5" t="n">
        <v>0.341839842432181</v>
      </c>
      <c r="M104" s="3" t="n">
        <v>117285.8655462185</v>
      </c>
      <c r="N104" s="5" t="n">
        <v>0.4626879263625654</v>
      </c>
      <c r="O104" s="3" t="n">
        <v>185350.3283088235</v>
      </c>
      <c r="P104" s="5" t="n">
        <v>0.66</v>
      </c>
      <c r="Q104" s="3" t="n">
        <v>132300</v>
      </c>
      <c r="R104" s="5" t="n">
        <v>0.5236650670823886</v>
      </c>
      <c r="S104" s="3" t="n">
        <v>140.4</v>
      </c>
      <c r="T104" s="5" t="n">
        <v>0.8717559795991046</v>
      </c>
      <c r="U104" s="6" t="n"/>
    </row>
    <row r="105">
      <c r="A105" s="2" t="inlineStr">
        <is>
          <t>ANCIENT</t>
        </is>
      </c>
      <c r="B105" s="2" t="inlineStr">
        <is>
          <t>I'M REEF TRIANGLE TOP</t>
        </is>
      </c>
      <c r="C105" s="2" t="inlineStr">
        <is>
          <t>283135/IREEF</t>
        </is>
      </c>
      <c r="D105" s="2" t="n">
        <v>8000</v>
      </c>
      <c r="E105" s="3" t="n">
        <v>30757.175</v>
      </c>
      <c r="F105" s="4" t="n">
        <v>11739.386625</v>
      </c>
      <c r="G105" s="3">
        <f>IF(OR(E105="",F105=""),"",E105+F105)</f>
        <v/>
      </c>
      <c r="H105" s="3" t="n">
        <v>50570.90833375</v>
      </c>
      <c r="I105" s="3" t="n">
        <v>126427.270834375</v>
      </c>
      <c r="J105" s="3" t="n">
        <v>129900</v>
      </c>
      <c r="K105" s="3" t="n">
        <v>62221.00840336135</v>
      </c>
      <c r="L105" s="5" t="n">
        <v>0.317006221604338</v>
      </c>
      <c r="M105" s="3" t="n">
        <v>76215.27731092437</v>
      </c>
      <c r="N105" s="5" t="n">
        <v>0.4424141310720032</v>
      </c>
      <c r="O105" s="3" t="n">
        <v>124989.8871323529</v>
      </c>
      <c r="P105" s="5" t="n">
        <v>0.66</v>
      </c>
      <c r="Q105" s="3" t="n">
        <v>78400</v>
      </c>
      <c r="R105" s="5" t="n">
        <v>0.4579520200892857</v>
      </c>
      <c r="S105" s="3" t="n">
        <v>83.2</v>
      </c>
      <c r="T105" s="5" t="n">
        <v>0.8540640054086538</v>
      </c>
      <c r="U105" s="6" t="n"/>
    </row>
    <row r="106">
      <c r="A106" s="2" t="inlineStr">
        <is>
          <t>ANCIENT</t>
        </is>
      </c>
      <c r="B106" s="2" t="inlineStr">
        <is>
          <t>I'M REEF STRAP TIE SIDE BOTTOM</t>
        </is>
      </c>
      <c r="C106" s="2" t="inlineStr">
        <is>
          <t>283236/IREEF</t>
        </is>
      </c>
      <c r="D106" s="2" t="n">
        <v>8000</v>
      </c>
      <c r="E106" s="3" t="n">
        <v>27301.9</v>
      </c>
      <c r="F106" s="4" t="n">
        <v>11739.386625</v>
      </c>
      <c r="G106" s="3">
        <f>IF(OR(E106="",F106=""),"",E106+F106)</f>
        <v/>
      </c>
      <c r="H106" s="3" t="n">
        <v>46459.13108375</v>
      </c>
      <c r="I106" s="3" t="n">
        <v>116147.827709375</v>
      </c>
      <c r="J106" s="3" t="n">
        <v>119900</v>
      </c>
      <c r="K106" s="3" t="n">
        <v>57431.09243697478</v>
      </c>
      <c r="L106" s="5" t="n">
        <v>0.3202064427410268</v>
      </c>
      <c r="M106" s="3" t="n">
        <v>70348.05042016806</v>
      </c>
      <c r="N106" s="5" t="n">
        <v>0.4450267435725942</v>
      </c>
      <c r="O106" s="3" t="n">
        <v>114827.3136029412</v>
      </c>
      <c r="P106" s="5" t="n">
        <v>0.6599999999999999</v>
      </c>
      <c r="Q106" s="3" t="n">
        <v>78400</v>
      </c>
      <c r="R106" s="5" t="n">
        <v>0.5020244052933673</v>
      </c>
      <c r="S106" s="3" t="n">
        <v>83.2</v>
      </c>
      <c r="T106" s="5" t="n">
        <v>0.8659296475789835</v>
      </c>
      <c r="U106" s="6" t="n"/>
    </row>
    <row r="107">
      <c r="A107" s="2" t="inlineStr">
        <is>
          <t>ANCIENT</t>
        </is>
      </c>
      <c r="B107" s="2" t="inlineStr">
        <is>
          <t>I'M REEF STRAIGHT ONE PIECE</t>
        </is>
      </c>
      <c r="C107" s="2" t="inlineStr">
        <is>
          <t>283370/IREEF</t>
        </is>
      </c>
      <c r="D107" s="2" t="n">
        <v>8000</v>
      </c>
      <c r="E107" s="3" t="n">
        <v>54694</v>
      </c>
      <c r="F107" s="4" t="n">
        <v>11739.386625</v>
      </c>
      <c r="G107" s="3">
        <f>IF(OR(E107="",F107=""),"",E107+F107)</f>
        <v/>
      </c>
      <c r="H107" s="3" t="n">
        <v>79055.73008374999</v>
      </c>
      <c r="I107" s="3" t="n">
        <v>197639.325209375</v>
      </c>
      <c r="J107" s="3" t="n">
        <v>199900</v>
      </c>
      <c r="K107" s="3" t="n">
        <v>95750.42016806723</v>
      </c>
      <c r="L107" s="5" t="n">
        <v>0.3061817743630587</v>
      </c>
      <c r="M107" s="3" t="n">
        <v>117285.8655462185</v>
      </c>
      <c r="N107" s="5" t="n">
        <v>0.433577214819455</v>
      </c>
      <c r="O107" s="3" t="n">
        <v>195392.3136029412</v>
      </c>
      <c r="P107" s="5" t="n">
        <v>0.66</v>
      </c>
      <c r="Q107" s="3" t="n">
        <v>134750</v>
      </c>
      <c r="R107" s="5" t="n">
        <v>0.5069878543599258</v>
      </c>
      <c r="S107" s="3" t="n">
        <v>143</v>
      </c>
      <c r="T107" s="5" t="n">
        <v>0.8672659607892108</v>
      </c>
      <c r="U107" s="6" t="n"/>
    </row>
    <row r="108">
      <c r="A108" s="2" t="inlineStr">
        <is>
          <t>ANCIENT</t>
        </is>
      </c>
      <c r="B108" s="2" t="inlineStr">
        <is>
          <t>JADE PAREO</t>
        </is>
      </c>
      <c r="C108" s="2" t="inlineStr">
        <is>
          <t>28RE22/JAD</t>
        </is>
      </c>
      <c r="D108" s="2" t="n">
        <v>8000</v>
      </c>
      <c r="E108" s="3" t="n">
        <v>31578.17142857143</v>
      </c>
      <c r="F108" s="4" t="n">
        <v>11739.386625</v>
      </c>
      <c r="G108" s="3">
        <f>IF(OR(E108="",F108=""),"",E108+F108)</f>
        <v/>
      </c>
      <c r="H108" s="3" t="n">
        <v>51547.89408374999</v>
      </c>
      <c r="I108" s="3" t="n">
        <v>128869.735209375</v>
      </c>
      <c r="J108" s="3" t="n">
        <v>139900</v>
      </c>
      <c r="K108" s="3" t="n">
        <v>67010.9243697479</v>
      </c>
      <c r="L108" s="5" t="n">
        <v>0.3535746826210451</v>
      </c>
      <c r="M108" s="3" t="n">
        <v>82082.50420168067</v>
      </c>
      <c r="N108" s="5" t="n">
        <v>0.4722680737525004</v>
      </c>
      <c r="O108" s="3" t="n">
        <v>127404.5825105042</v>
      </c>
      <c r="P108" s="5" t="n">
        <v>0.66</v>
      </c>
      <c r="Q108" s="3" t="n">
        <v>88200</v>
      </c>
      <c r="R108" s="5" t="n">
        <v>0.5088712238824101</v>
      </c>
      <c r="S108" s="3" t="n">
        <v>93.60000000000001</v>
      </c>
      <c r="T108" s="5" t="n">
        <v>0.867773021814495</v>
      </c>
      <c r="U108" s="6" t="n"/>
    </row>
    <row r="109">
      <c r="A109" s="2" t="inlineStr">
        <is>
          <t>ANCIENT</t>
        </is>
      </c>
      <c r="B109" s="2" t="inlineStr">
        <is>
          <t>JADE HEADKERCHIEF</t>
        </is>
      </c>
      <c r="C109" s="2" t="inlineStr">
        <is>
          <t>28KE21/JAD</t>
        </is>
      </c>
      <c r="D109" s="2" t="n">
        <v>8000</v>
      </c>
      <c r="E109" s="3" t="n">
        <v>19794.12</v>
      </c>
      <c r="F109" s="4" t="n">
        <v>3159.75</v>
      </c>
      <c r="G109" s="3">
        <f>IF(OR(E109="",F109=""),"",E109+F109)</f>
        <v/>
      </c>
      <c r="H109" s="3" t="n">
        <v>27315.1053</v>
      </c>
      <c r="I109" s="3" t="n">
        <v>68287.76324999999</v>
      </c>
      <c r="J109" s="3" t="n">
        <v>59900</v>
      </c>
      <c r="K109" s="3" t="n">
        <v>28691.59663865546</v>
      </c>
      <c r="L109" s="5" t="n">
        <v>0.1999793427642562</v>
      </c>
      <c r="M109" s="3" t="n">
        <v>35144.68907563025</v>
      </c>
      <c r="N109" s="5" t="n">
        <v>0.3468751437634289</v>
      </c>
      <c r="O109" s="3" t="n">
        <v>67511.38235294117</v>
      </c>
      <c r="P109" s="5" t="n">
        <v>0.66</v>
      </c>
      <c r="Q109" s="3" t="n">
        <v>39200</v>
      </c>
      <c r="R109" s="5" t="n">
        <v>0.4144420918367347</v>
      </c>
      <c r="S109" s="3" t="n">
        <v>41.6</v>
      </c>
      <c r="T109" s="5" t="n">
        <v>0.842349793956044</v>
      </c>
      <c r="U109" s="6" t="n"/>
    </row>
    <row r="110">
      <c r="A110" s="2" t="inlineStr">
        <is>
          <t>ANCIENT</t>
        </is>
      </c>
      <c r="B110" s="2" t="inlineStr">
        <is>
          <t>JADE TOWEL</t>
        </is>
      </c>
      <c r="C110" s="2" t="inlineStr">
        <is>
          <t>28TO27/JAD</t>
        </is>
      </c>
      <c r="D110" s="2" t="n">
        <v>8000</v>
      </c>
      <c r="E110" s="3" t="n">
        <v>36124.62</v>
      </c>
      <c r="F110" s="4" t="n">
        <v>3159.75</v>
      </c>
      <c r="G110" s="3">
        <f>IF(OR(E110="",F110=""),"",E110+F110)</f>
        <v/>
      </c>
      <c r="H110" s="3" t="n">
        <v>46748.4003</v>
      </c>
      <c r="I110" s="3" t="n">
        <v>116871.00075</v>
      </c>
      <c r="J110" s="3" t="n">
        <v>94000</v>
      </c>
      <c r="K110" s="3" t="n">
        <v>45025.21008403361</v>
      </c>
      <c r="L110" s="5" t="n">
        <v>0.1275027939529675</v>
      </c>
      <c r="M110" s="3" t="n">
        <v>55151.93277310924</v>
      </c>
      <c r="N110" s="5" t="n">
        <v>0.2877063771887589</v>
      </c>
      <c r="O110" s="3" t="n">
        <v>115542.2647058823</v>
      </c>
      <c r="P110" s="5" t="n">
        <v>0.66</v>
      </c>
      <c r="Q110" s="3" t="n">
        <v>83299.99999999999</v>
      </c>
      <c r="R110" s="5" t="n">
        <v>0.528398919567827</v>
      </c>
      <c r="S110" s="3" t="n">
        <v>88.40000000000001</v>
      </c>
      <c r="T110" s="5" t="n">
        <v>0.8730304783451842</v>
      </c>
      <c r="U110" s="6" t="n"/>
    </row>
    <row r="111">
      <c r="A111" s="2" t="inlineStr">
        <is>
          <t>ANCIENT</t>
        </is>
      </c>
      <c r="B111" s="2" t="inlineStr">
        <is>
          <t>JADE MESH SHIRT</t>
        </is>
      </c>
      <c r="C111" s="2" t="inlineStr">
        <is>
          <t>28CA36/JAD</t>
        </is>
      </c>
      <c r="D111" s="2" t="n">
        <v>8000</v>
      </c>
      <c r="E111" s="3" t="n">
        <v>32455.55913978495</v>
      </c>
      <c r="F111" s="4" t="n">
        <v>11739.386625</v>
      </c>
      <c r="G111" s="3">
        <f>IF(OR(E111="",F111=""),"",E111+F111)</f>
        <v/>
      </c>
      <c r="H111" s="3" t="n">
        <v>52591.98546009409</v>
      </c>
      <c r="I111" s="3" t="n">
        <v>131479.9636502352</v>
      </c>
      <c r="J111" s="3" t="n">
        <v>129900</v>
      </c>
      <c r="K111" s="3" t="n">
        <v>62221.00840336135</v>
      </c>
      <c r="L111" s="5" t="n">
        <v>0.2897102297301016</v>
      </c>
      <c r="M111" s="3" t="n">
        <v>76215.27731092437</v>
      </c>
      <c r="N111" s="5" t="n">
        <v>0.4201300930194184</v>
      </c>
      <c r="O111" s="3" t="n">
        <v>129985.1346023087</v>
      </c>
      <c r="P111" s="5" t="n">
        <v>0.66</v>
      </c>
      <c r="Q111" s="3" t="n">
        <v>95549.99999999999</v>
      </c>
      <c r="R111" s="5" t="n">
        <v>0.5374678622209842</v>
      </c>
      <c r="S111" s="3" t="n">
        <v>101.4</v>
      </c>
      <c r="T111" s="5" t="n">
        <v>0.8754721167518035</v>
      </c>
      <c r="U111" s="6" t="n"/>
    </row>
    <row r="112">
      <c r="A112" s="2" t="inlineStr">
        <is>
          <t>ANCIENT</t>
        </is>
      </c>
      <c r="B112" s="2" t="inlineStr">
        <is>
          <t>JADE MESH LONG SHIRT</t>
        </is>
      </c>
      <c r="C112" s="2" t="inlineStr">
        <is>
          <t>28CA32/JAD</t>
        </is>
      </c>
      <c r="D112" s="2" t="n">
        <v>8000</v>
      </c>
      <c r="E112" s="3" t="n">
        <v>28668.93333333333</v>
      </c>
      <c r="F112" s="4" t="n">
        <v>11739.386625</v>
      </c>
      <c r="G112" s="3">
        <f>IF(OR(E112="",F112=""),"",E112+F112)</f>
        <v/>
      </c>
      <c r="H112" s="3" t="n">
        <v>48085.90075041667</v>
      </c>
      <c r="I112" s="3" t="n">
        <v>120214.7518760417</v>
      </c>
      <c r="J112" s="3" t="n">
        <v>119900</v>
      </c>
      <c r="K112" s="3" t="n">
        <v>57431.09243697478</v>
      </c>
      <c r="L112" s="5" t="n">
        <v>0.2964034246313935</v>
      </c>
      <c r="M112" s="3" t="n">
        <v>70348.05042016806</v>
      </c>
      <c r="N112" s="5" t="n">
        <v>0.4255943168718051</v>
      </c>
      <c r="O112" s="3" t="n">
        <v>118847.999877451</v>
      </c>
      <c r="P112" s="5" t="n">
        <v>0.66</v>
      </c>
      <c r="Q112" s="3" t="n">
        <v>93099.99999999999</v>
      </c>
      <c r="R112" s="5" t="n">
        <v>0.5659686363229501</v>
      </c>
      <c r="S112" s="3" t="n">
        <v>98.8</v>
      </c>
      <c r="T112" s="5" t="n">
        <v>0.8831454020869481</v>
      </c>
      <c r="U112" s="6" t="n"/>
    </row>
    <row r="113">
      <c r="A113" s="2" t="inlineStr">
        <is>
          <t>ANCIENT</t>
        </is>
      </c>
      <c r="B113" s="2" t="inlineStr">
        <is>
          <t>JADE T-SHIRT</t>
        </is>
      </c>
      <c r="C113" s="2" t="inlineStr">
        <is>
          <t>28TSH20/JAD</t>
        </is>
      </c>
      <c r="D113" s="2" t="n">
        <v>8000</v>
      </c>
      <c r="E113" s="3" t="n">
        <v>28862.74509803922</v>
      </c>
      <c r="F113" s="4" t="n">
        <v>11739.386625</v>
      </c>
      <c r="G113" s="3">
        <f>IF(OR(E113="",F113=""),"",E113+F113)</f>
        <v/>
      </c>
      <c r="H113" s="3" t="n">
        <v>48316.53675041666</v>
      </c>
      <c r="I113" s="3" t="n">
        <v>120791.3418760417</v>
      </c>
      <c r="J113" s="3" t="n">
        <v>129900</v>
      </c>
      <c r="K113" s="3" t="n">
        <v>62221.00840336135</v>
      </c>
      <c r="L113" s="5" t="n">
        <v>0.3474530104072409</v>
      </c>
      <c r="M113" s="3" t="n">
        <v>76215.27731092437</v>
      </c>
      <c r="N113" s="5" t="n">
        <v>0.4672704324436083</v>
      </c>
      <c r="O113" s="3" t="n">
        <v>119418.0344795271</v>
      </c>
      <c r="P113" s="5" t="n">
        <v>0.6599999999999999</v>
      </c>
      <c r="Q113" s="3" t="n">
        <v>83299.99999999999</v>
      </c>
      <c r="R113" s="5" t="n">
        <v>0.512579451103971</v>
      </c>
      <c r="S113" s="3" t="n">
        <v>88.40000000000001</v>
      </c>
      <c r="T113" s="5" t="n">
        <v>0.8687713906818384</v>
      </c>
      <c r="U113" s="6" t="n"/>
    </row>
    <row r="114">
      <c r="A114" s="2" t="inlineStr">
        <is>
          <t>ANCIENT</t>
        </is>
      </c>
      <c r="B114" s="2" t="inlineStr">
        <is>
          <t>JADE MESH LONG DRESS</t>
        </is>
      </c>
      <c r="C114" s="2" t="inlineStr">
        <is>
          <t>28VE36/JAD</t>
        </is>
      </c>
      <c r="D114" s="2" t="n">
        <v>8000</v>
      </c>
      <c r="E114" s="3" t="n">
        <v>57900</v>
      </c>
      <c r="F114" s="4" t="n">
        <v>11739.386625</v>
      </c>
      <c r="G114" s="3">
        <f>IF(OR(E114="",F114=""),"",E114+F114)</f>
        <v/>
      </c>
      <c r="H114" s="3" t="n">
        <v>82870.87008374999</v>
      </c>
      <c r="I114" s="3" t="n">
        <v>207177.175209375</v>
      </c>
      <c r="J114" s="3" t="n">
        <v>194900</v>
      </c>
      <c r="K114" s="3" t="n">
        <v>93355.46218487395</v>
      </c>
      <c r="L114" s="5" t="n">
        <v>0.2540405778604413</v>
      </c>
      <c r="M114" s="3" t="n">
        <v>114352.2521008403</v>
      </c>
      <c r="N114" s="5" t="n">
        <v>0.3910099246354218</v>
      </c>
      <c r="O114" s="3" t="n">
        <v>204821.725367647</v>
      </c>
      <c r="P114" s="5" t="n">
        <v>0.6599999999999999</v>
      </c>
      <c r="Q114" s="3" t="n">
        <v>122500</v>
      </c>
      <c r="R114" s="5" t="n">
        <v>0.4315152112244898</v>
      </c>
      <c r="S114" s="3" t="n">
        <v>130</v>
      </c>
      <c r="T114" s="5" t="n">
        <v>0.8469464030219781</v>
      </c>
      <c r="U114" s="6" t="n"/>
    </row>
    <row r="115">
      <c r="A115" s="2" t="inlineStr">
        <is>
          <t>ANCIENT</t>
        </is>
      </c>
      <c r="B115" s="2" t="inlineStr">
        <is>
          <t>JADE WHITE MESH LONG DRESS</t>
        </is>
      </c>
      <c r="C115" s="2" t="inlineStr">
        <is>
          <t>28VE36/JADWH</t>
        </is>
      </c>
      <c r="D115" s="2" t="n">
        <v>8000</v>
      </c>
      <c r="E115" s="3" t="n">
        <v>57900</v>
      </c>
      <c r="F115" s="4" t="n">
        <v>11739.386625</v>
      </c>
      <c r="G115" s="3">
        <f>IF(OR(E115="",F115=""),"",E115+F115)</f>
        <v/>
      </c>
      <c r="H115" s="3" t="n">
        <v>82870.87008374999</v>
      </c>
      <c r="I115" s="3" t="n">
        <v>207177.175209375</v>
      </c>
      <c r="J115" s="3" t="n">
        <v>194900</v>
      </c>
      <c r="K115" s="3" t="n">
        <v>93355.46218487395</v>
      </c>
      <c r="L115" s="5" t="n">
        <v>0.2540405778604413</v>
      </c>
      <c r="M115" s="3" t="n">
        <v>114352.2521008403</v>
      </c>
      <c r="N115" s="5" t="n">
        <v>0.3910099246354218</v>
      </c>
      <c r="O115" s="3" t="n">
        <v>204821.725367647</v>
      </c>
      <c r="P115" s="5" t="n">
        <v>0.6599999999999999</v>
      </c>
      <c r="Q115" s="3" t="n">
        <v>122500</v>
      </c>
      <c r="R115" s="5" t="n">
        <v>0.4315152112244898</v>
      </c>
      <c r="S115" s="3" t="n">
        <v>130</v>
      </c>
      <c r="T115" s="5" t="n">
        <v>0.8469464030219781</v>
      </c>
      <c r="U115" s="6" t="n"/>
    </row>
    <row r="116">
      <c r="A116" s="2" t="inlineStr">
        <is>
          <t>ANCIENT</t>
        </is>
      </c>
      <c r="B116" s="2" t="inlineStr">
        <is>
          <t>JADE MESH DRESS</t>
        </is>
      </c>
      <c r="C116" s="2" t="inlineStr">
        <is>
          <t>28VE32/JAD</t>
        </is>
      </c>
      <c r="D116" s="2" t="n">
        <v>8000</v>
      </c>
      <c r="E116" s="3" t="n">
        <v>50498.71999999999</v>
      </c>
      <c r="F116" s="4" t="n">
        <v>11739.386625</v>
      </c>
      <c r="G116" s="3">
        <f>IF(OR(E116="",F116=""),"",E116+F116)</f>
        <v/>
      </c>
      <c r="H116" s="3" t="n">
        <v>74063.34688374998</v>
      </c>
      <c r="I116" s="3" t="n">
        <v>185158.367209375</v>
      </c>
      <c r="J116" s="3" t="n">
        <v>179900</v>
      </c>
      <c r="K116" s="3" t="n">
        <v>86170.58823529411</v>
      </c>
      <c r="L116" s="5" t="n">
        <v>0.2777337616048877</v>
      </c>
      <c r="M116" s="3" t="n">
        <v>105551.4117647059</v>
      </c>
      <c r="N116" s="5" t="n">
        <v>0.4103526842090891</v>
      </c>
      <c r="O116" s="3" t="n">
        <v>183053.2547794117</v>
      </c>
      <c r="P116" s="5" t="n">
        <v>0.66</v>
      </c>
      <c r="Q116" s="3" t="n">
        <v>120050</v>
      </c>
      <c r="R116" s="5" t="n">
        <v>0.4815651259891712</v>
      </c>
      <c r="S116" s="3" t="n">
        <v>127.4</v>
      </c>
      <c r="T116" s="5" t="n">
        <v>0.8604213800740076</v>
      </c>
      <c r="U116" s="6" t="n"/>
    </row>
    <row r="117">
      <c r="A117" s="2" t="inlineStr">
        <is>
          <t>ANCIENT</t>
        </is>
      </c>
      <c r="B117" s="2" t="inlineStr">
        <is>
          <t>JADE CARGO PANTS</t>
        </is>
      </c>
      <c r="C117" s="2" t="inlineStr">
        <is>
          <t>28PA25/JAD</t>
        </is>
      </c>
      <c r="D117" s="2" t="n">
        <v>8000</v>
      </c>
      <c r="E117" s="3" t="n">
        <v>59969.36647619048</v>
      </c>
      <c r="F117" s="4" t="n">
        <v>11739.386625</v>
      </c>
      <c r="G117" s="3">
        <f>IF(OR(E117="",F117=""),"",E117+F117)</f>
        <v/>
      </c>
      <c r="H117" s="3" t="n">
        <v>85333.41619041667</v>
      </c>
      <c r="I117" s="3" t="n">
        <v>213333.5404760416</v>
      </c>
      <c r="J117" s="3" t="n">
        <v>209900</v>
      </c>
      <c r="K117" s="3" t="n">
        <v>100540.3361344538</v>
      </c>
      <c r="L117" s="5" t="n">
        <v>0.2867663282397074</v>
      </c>
      <c r="M117" s="3" t="n">
        <v>123153.0924369748</v>
      </c>
      <c r="N117" s="5" t="n">
        <v>0.4177267360306979</v>
      </c>
      <c r="O117" s="3" t="n">
        <v>210908.0973564426</v>
      </c>
      <c r="P117" s="5" t="n">
        <v>0.66</v>
      </c>
      <c r="Q117" s="3" t="n">
        <v>147000</v>
      </c>
      <c r="R117" s="5" t="n">
        <v>0.512185353053126</v>
      </c>
      <c r="S117" s="3" t="n">
        <v>156</v>
      </c>
      <c r="T117" s="5" t="n">
        <v>0.868665287360457</v>
      </c>
      <c r="U117" s="6" t="n"/>
    </row>
    <row r="118">
      <c r="A118" s="2" t="inlineStr">
        <is>
          <t>ANCIENT</t>
        </is>
      </c>
      <c r="B118" s="2" t="inlineStr">
        <is>
          <t>JADE SLEEP SLEEVELESS SHIRT</t>
        </is>
      </c>
      <c r="C118" s="2" t="inlineStr">
        <is>
          <t>284124/JAD</t>
        </is>
      </c>
      <c r="D118" s="2" t="n">
        <v>8000</v>
      </c>
      <c r="E118" s="3" t="n">
        <v>21933.56666666665</v>
      </c>
      <c r="F118" s="4" t="n">
        <v>11739.386625</v>
      </c>
      <c r="G118" s="3">
        <f>IF(OR(E118="",F118=""),"",E118+F118)</f>
        <v/>
      </c>
      <c r="H118" s="3" t="n">
        <v>40070.81441708331</v>
      </c>
      <c r="I118" s="3" t="n">
        <v>100177.0360427083</v>
      </c>
      <c r="J118" s="3" t="n">
        <v>89950</v>
      </c>
      <c r="K118" s="3" t="n">
        <v>43085.29411764706</v>
      </c>
      <c r="L118" s="5" t="n">
        <v>0.2184583166655293</v>
      </c>
      <c r="M118" s="3" t="n">
        <v>52775.70588235294</v>
      </c>
      <c r="N118" s="5" t="n">
        <v>0.3619611006865535</v>
      </c>
      <c r="O118" s="3" t="n">
        <v>99038.09791666661</v>
      </c>
      <c r="P118" s="5" t="n">
        <v>0.6599999999999999</v>
      </c>
      <c r="Q118" s="3" t="n">
        <v>36750</v>
      </c>
      <c r="R118" s="5" t="n">
        <v>0.08372916213151972</v>
      </c>
      <c r="S118" s="3" t="n">
        <v>39</v>
      </c>
      <c r="T118" s="5" t="n">
        <v>0.7533116974969476</v>
      </c>
      <c r="U118" s="6" t="n"/>
    </row>
    <row r="119">
      <c r="A119" s="2" t="inlineStr">
        <is>
          <t>ANCIENT</t>
        </is>
      </c>
      <c r="B119" s="2" t="inlineStr">
        <is>
          <t>JADE SLEEP PANTS</t>
        </is>
      </c>
      <c r="C119" s="2" t="inlineStr">
        <is>
          <t>284323/JAD</t>
        </is>
      </c>
      <c r="D119" s="2" t="n">
        <v>8000</v>
      </c>
      <c r="E119" s="3" t="n">
        <v>21933.56666666665</v>
      </c>
      <c r="F119" s="4" t="n">
        <v>11739.386625</v>
      </c>
      <c r="G119" s="3">
        <f>IF(OR(E119="",F119=""),"",E119+F119)</f>
        <v/>
      </c>
      <c r="H119" s="3" t="n">
        <v>40070.81441708331</v>
      </c>
      <c r="I119" s="3" t="n">
        <v>100177.0360427083</v>
      </c>
      <c r="J119" s="3" t="n">
        <v>89950</v>
      </c>
      <c r="K119" s="3" t="n">
        <v>43085.29411764706</v>
      </c>
      <c r="L119" s="5" t="n">
        <v>0.2184583166655293</v>
      </c>
      <c r="M119" s="3" t="n">
        <v>52775.70588235294</v>
      </c>
      <c r="N119" s="5" t="n">
        <v>0.3619611006865535</v>
      </c>
      <c r="O119" s="3" t="n">
        <v>99038.09791666661</v>
      </c>
      <c r="P119" s="5" t="n">
        <v>0.6599999999999999</v>
      </c>
      <c r="Q119" s="3" t="n">
        <v>44100</v>
      </c>
      <c r="R119" s="5" t="n">
        <v>0.2364409684429331</v>
      </c>
      <c r="S119" s="3" t="n">
        <v>46.8</v>
      </c>
      <c r="T119" s="5" t="n">
        <v>0.7944264145807897</v>
      </c>
      <c r="U119" s="6" t="n"/>
    </row>
    <row r="120">
      <c r="A120" s="2" t="inlineStr">
        <is>
          <t>ANCIENT</t>
        </is>
      </c>
      <c r="B120" s="2" t="inlineStr">
        <is>
          <t>I'M BLUE CLASSIC WIDE LEG JEAN</t>
        </is>
      </c>
      <c r="C120" s="2" t="inlineStr">
        <is>
          <t>29PA28/DBLU</t>
        </is>
      </c>
      <c r="D120" s="2" t="n">
        <v>8000</v>
      </c>
      <c r="E120" s="3" t="n"/>
      <c r="F120" s="4" t="n">
        <v>11739.386625</v>
      </c>
      <c r="G120" s="3">
        <f>IF(OR(E120="",F120=""),"",E120+F120)</f>
        <v/>
      </c>
      <c r="H120" s="3" t="n">
        <v>13969.87008375</v>
      </c>
      <c r="I120" s="3" t="n">
        <v>34924.675209375</v>
      </c>
      <c r="J120" s="3" t="n"/>
      <c r="K120" s="3" t="n">
        <v>0</v>
      </c>
      <c r="L120" s="5" t="e">
        <v>#DIV/0!</v>
      </c>
      <c r="M120" s="3" t="n">
        <v>0</v>
      </c>
      <c r="N120" s="5" t="e">
        <v>#DIV/0!</v>
      </c>
      <c r="O120" s="3" t="n">
        <v>34527.60772058823</v>
      </c>
      <c r="P120" s="5" t="n">
        <v>0.66</v>
      </c>
      <c r="Q120" s="3" t="n">
        <v>0</v>
      </c>
      <c r="R120" s="5" t="e">
        <v>#DIV/0!</v>
      </c>
      <c r="S120" s="3" t="n">
        <v>0</v>
      </c>
      <c r="T120" s="5" t="e">
        <v>#DIV/0!</v>
      </c>
      <c r="U120" s="7" t="inlineStr">
        <is>
          <t>Falta costo directo (COSTO PRODUCTO) en el archivo original — ya venía como #DIV/0! ahí</t>
        </is>
      </c>
    </row>
    <row r="121">
      <c r="A121" s="2" t="inlineStr">
        <is>
          <t>ANCIENT</t>
        </is>
      </c>
      <c r="B121" s="2" t="inlineStr">
        <is>
          <t>CLARIDAD HALTER BODY</t>
        </is>
      </c>
      <c r="C121" s="2" t="inlineStr">
        <is>
          <t>295026/YEW</t>
        </is>
      </c>
      <c r="D121" s="2" t="n">
        <v>8000</v>
      </c>
      <c r="E121" s="3" t="n">
        <v>39487.1</v>
      </c>
      <c r="F121" s="4" t="n">
        <v>11739.386625</v>
      </c>
      <c r="G121" s="3">
        <f>IF(OR(E121="",F121=""),"",E121+F121)</f>
        <v/>
      </c>
      <c r="H121" s="3" t="n">
        <v>60959.51908375</v>
      </c>
      <c r="I121" s="3" t="n">
        <v>152398.797709375</v>
      </c>
      <c r="J121" s="3" t="n">
        <v>159900</v>
      </c>
      <c r="K121" s="3" t="n">
        <v>76590.75630252101</v>
      </c>
      <c r="L121" s="5" t="n">
        <v>0.3311661994475715</v>
      </c>
      <c r="M121" s="3" t="n">
        <v>93816.95798319328</v>
      </c>
      <c r="N121" s="5" t="n">
        <v>0.4539741244415865</v>
      </c>
      <c r="O121" s="3" t="n">
        <v>150666.1371323529</v>
      </c>
      <c r="P121" s="5" t="n">
        <v>0.66</v>
      </c>
      <c r="Q121" s="3" t="n">
        <v>105350</v>
      </c>
      <c r="R121" s="5" t="n">
        <v>0.5137495336971998</v>
      </c>
      <c r="S121" s="3" t="n">
        <v>111.8</v>
      </c>
      <c r="T121" s="5" t="n">
        <v>0.8690864129184768</v>
      </c>
      <c r="U121" s="6" t="n"/>
    </row>
    <row r="122">
      <c r="A122" s="2" t="inlineStr">
        <is>
          <t>ANCIENT</t>
        </is>
      </c>
      <c r="B122" s="2" t="inlineStr">
        <is>
          <t>LUZ HALTER BODY</t>
        </is>
      </c>
      <c r="C122" s="2" t="inlineStr">
        <is>
          <t>295026/IVRY</t>
        </is>
      </c>
      <c r="D122" s="2" t="n">
        <v>8000</v>
      </c>
      <c r="E122" s="3" t="n">
        <v>39487.1</v>
      </c>
      <c r="F122" s="4" t="n">
        <v>11739.386625</v>
      </c>
      <c r="G122" s="3">
        <f>IF(OR(E122="",F122=""),"",E122+F122)</f>
        <v/>
      </c>
      <c r="H122" s="3" t="n">
        <v>60959.51908375</v>
      </c>
      <c r="I122" s="3" t="n">
        <v>152398.797709375</v>
      </c>
      <c r="J122" s="3" t="n">
        <v>159900</v>
      </c>
      <c r="K122" s="3" t="n">
        <v>76590.75630252101</v>
      </c>
      <c r="L122" s="5" t="n">
        <v>0.3311661994475715</v>
      </c>
      <c r="M122" s="3" t="n">
        <v>93816.95798319328</v>
      </c>
      <c r="N122" s="5" t="n">
        <v>0.4539741244415865</v>
      </c>
      <c r="O122" s="3" t="n">
        <v>150666.1371323529</v>
      </c>
      <c r="P122" s="5" t="n">
        <v>0.66</v>
      </c>
      <c r="Q122" s="3" t="n">
        <v>105350</v>
      </c>
      <c r="R122" s="5" t="n">
        <v>0.5137495336971998</v>
      </c>
      <c r="S122" s="3" t="n">
        <v>111.8</v>
      </c>
      <c r="T122" s="5" t="n">
        <v>0.8690864129184768</v>
      </c>
      <c r="U122" s="6" t="n"/>
    </row>
    <row r="123">
      <c r="A123" s="2" t="inlineStr">
        <is>
          <t>ANCIENT</t>
        </is>
      </c>
      <c r="B123" s="2" t="inlineStr">
        <is>
          <t>FUERZA HALTER BODY</t>
        </is>
      </c>
      <c r="C123" s="2" t="inlineStr">
        <is>
          <t>295026/BLA</t>
        </is>
      </c>
      <c r="D123" s="2" t="n">
        <v>8000</v>
      </c>
      <c r="E123" s="3" t="n">
        <v>39487.1</v>
      </c>
      <c r="F123" s="4" t="n">
        <v>11739.386625</v>
      </c>
      <c r="G123" s="3">
        <f>IF(OR(E123="",F123=""),"",E123+F123)</f>
        <v/>
      </c>
      <c r="H123" s="3" t="n">
        <v>60959.51908375</v>
      </c>
      <c r="I123" s="3" t="n">
        <v>152398.797709375</v>
      </c>
      <c r="J123" s="3" t="n">
        <v>159900</v>
      </c>
      <c r="K123" s="3" t="n">
        <v>76590.75630252101</v>
      </c>
      <c r="L123" s="5" t="n">
        <v>0.3311661994475715</v>
      </c>
      <c r="M123" s="3" t="n">
        <v>93816.95798319328</v>
      </c>
      <c r="N123" s="5" t="n">
        <v>0.4539741244415865</v>
      </c>
      <c r="O123" s="3" t="n">
        <v>150666.1371323529</v>
      </c>
      <c r="P123" s="5" t="n">
        <v>0.66</v>
      </c>
      <c r="Q123" s="3" t="n">
        <v>105350</v>
      </c>
      <c r="R123" s="5" t="n">
        <v>0.5137495336971998</v>
      </c>
      <c r="S123" s="3" t="n">
        <v>111.8</v>
      </c>
      <c r="T123" s="5" t="n">
        <v>0.8690864129184768</v>
      </c>
      <c r="U123" s="6" t="n"/>
    </row>
    <row r="124">
      <c r="A124" s="2" t="inlineStr">
        <is>
          <t>ANCIENT</t>
        </is>
      </c>
      <c r="B124" s="2" t="inlineStr">
        <is>
          <t>EQUILIBRIO HALTER BODY</t>
        </is>
      </c>
      <c r="C124" s="2" t="inlineStr">
        <is>
          <t>295026/IMIL</t>
        </is>
      </c>
      <c r="D124" s="2" t="n">
        <v>8000</v>
      </c>
      <c r="E124" s="3" t="n">
        <v>39487.1</v>
      </c>
      <c r="F124" s="4" t="n">
        <v>11739.386625</v>
      </c>
      <c r="G124" s="3">
        <f>IF(OR(E124="",F124=""),"",E124+F124)</f>
        <v/>
      </c>
      <c r="H124" s="3" t="n">
        <v>60959.51908375</v>
      </c>
      <c r="I124" s="3" t="n">
        <v>152398.797709375</v>
      </c>
      <c r="J124" s="3" t="n">
        <v>159900</v>
      </c>
      <c r="K124" s="3" t="n">
        <v>76590.75630252101</v>
      </c>
      <c r="L124" s="5" t="n">
        <v>0.3311661994475715</v>
      </c>
      <c r="M124" s="3" t="n">
        <v>93816.95798319328</v>
      </c>
      <c r="N124" s="5" t="n">
        <v>0.4539741244415865</v>
      </c>
      <c r="O124" s="3" t="n">
        <v>150666.1371323529</v>
      </c>
      <c r="P124" s="5" t="n">
        <v>0.66</v>
      </c>
      <c r="Q124" s="3" t="n">
        <v>105350</v>
      </c>
      <c r="R124" s="5" t="n">
        <v>0.5137495336971998</v>
      </c>
      <c r="S124" s="3" t="n">
        <v>111.8</v>
      </c>
      <c r="T124" s="5" t="n">
        <v>0.8690864129184768</v>
      </c>
      <c r="U124" s="6" t="n"/>
    </row>
    <row r="125">
      <c r="A125" s="2" t="inlineStr">
        <is>
          <t>ANCIENT</t>
        </is>
      </c>
      <c r="B125" s="2" t="inlineStr">
        <is>
          <t>CERTEZA HALTER BODY</t>
        </is>
      </c>
      <c r="C125" s="2" t="inlineStr">
        <is>
          <t>295026/CHOLT</t>
        </is>
      </c>
      <c r="D125" s="2" t="n">
        <v>8000</v>
      </c>
      <c r="E125" s="3" t="n">
        <v>39487.1</v>
      </c>
      <c r="F125" s="4" t="n">
        <v>11739.386625</v>
      </c>
      <c r="G125" s="3">
        <f>IF(OR(E125="",F125=""),"",E125+F125)</f>
        <v/>
      </c>
      <c r="H125" s="3" t="n">
        <v>60959.51908375</v>
      </c>
      <c r="I125" s="3" t="n">
        <v>152398.797709375</v>
      </c>
      <c r="J125" s="3" t="n">
        <v>159900</v>
      </c>
      <c r="K125" s="3" t="n">
        <v>76590.75630252101</v>
      </c>
      <c r="L125" s="5" t="n">
        <v>0.3311661994475715</v>
      </c>
      <c r="M125" s="3" t="n">
        <v>93816.95798319328</v>
      </c>
      <c r="N125" s="5" t="n">
        <v>0.4539741244415865</v>
      </c>
      <c r="O125" s="3" t="n">
        <v>150666.1371323529</v>
      </c>
      <c r="P125" s="5" t="n">
        <v>0.66</v>
      </c>
      <c r="Q125" s="3" t="n">
        <v>105350</v>
      </c>
      <c r="R125" s="5" t="n">
        <v>0.5137495336971998</v>
      </c>
      <c r="S125" s="3" t="n">
        <v>111.8</v>
      </c>
      <c r="T125" s="5" t="n">
        <v>0.8690864129184768</v>
      </c>
      <c r="U125" s="6" t="n"/>
    </row>
    <row r="126">
      <c r="A126" s="2" t="inlineStr">
        <is>
          <t>ANCIENT</t>
        </is>
      </c>
      <c r="B126" s="2" t="inlineStr">
        <is>
          <t>FUERZA MESH LONG SLEEVE BODY</t>
        </is>
      </c>
      <c r="C126" s="2" t="inlineStr">
        <is>
          <t>295027/BLA</t>
        </is>
      </c>
      <c r="D126" s="2" t="n">
        <v>8000</v>
      </c>
      <c r="E126" s="3" t="n">
        <v>44907.3</v>
      </c>
      <c r="F126" s="4" t="n">
        <v>11739.386625</v>
      </c>
      <c r="G126" s="3">
        <f>IF(OR(E126="",F126=""),"",E126+F126)</f>
        <v/>
      </c>
      <c r="H126" s="3" t="n">
        <v>67409.55708375</v>
      </c>
      <c r="I126" s="3" t="n">
        <v>168523.892709375</v>
      </c>
      <c r="J126" s="3" t="n">
        <v>169900</v>
      </c>
      <c r="K126" s="3" t="n">
        <v>81380.67226890755</v>
      </c>
      <c r="L126" s="5" t="n">
        <v>0.3039294829388803</v>
      </c>
      <c r="M126" s="3" t="n">
        <v>99684.18487394958</v>
      </c>
      <c r="N126" s="5" t="n">
        <v>0.4317384779077081</v>
      </c>
      <c r="O126" s="3" t="n">
        <v>166607.9018382353</v>
      </c>
      <c r="P126" s="5" t="n">
        <v>0.66</v>
      </c>
      <c r="Q126" s="3" t="n">
        <v>110250</v>
      </c>
      <c r="R126" s="5" t="n">
        <v>0.4861978537414965</v>
      </c>
      <c r="S126" s="3" t="n">
        <v>117</v>
      </c>
      <c r="T126" s="5" t="n">
        <v>0.861668652930403</v>
      </c>
      <c r="U126" s="6" t="n"/>
    </row>
    <row r="127">
      <c r="A127" s="2" t="inlineStr">
        <is>
          <t>ANCIENT</t>
        </is>
      </c>
      <c r="B127" s="2" t="inlineStr">
        <is>
          <t>EQUILIBRIO MESH LONG SLEEVE BODY</t>
        </is>
      </c>
      <c r="C127" s="2" t="inlineStr">
        <is>
          <t>295027/IMIL</t>
        </is>
      </c>
      <c r="D127" s="2" t="n">
        <v>8000</v>
      </c>
      <c r="E127" s="3" t="n">
        <v>44907.3</v>
      </c>
      <c r="F127" s="4" t="n">
        <v>11739.386625</v>
      </c>
      <c r="G127" s="3">
        <f>IF(OR(E127="",F127=""),"",E127+F127)</f>
        <v/>
      </c>
      <c r="H127" s="3" t="n">
        <v>67409.55708375</v>
      </c>
      <c r="I127" s="3" t="n">
        <v>168523.892709375</v>
      </c>
      <c r="J127" s="3" t="n">
        <v>169900</v>
      </c>
      <c r="K127" s="3" t="n">
        <v>81380.67226890755</v>
      </c>
      <c r="L127" s="5" t="n">
        <v>0.3039294829388803</v>
      </c>
      <c r="M127" s="3" t="n">
        <v>99684.18487394958</v>
      </c>
      <c r="N127" s="5" t="n">
        <v>0.4317384779077081</v>
      </c>
      <c r="O127" s="3" t="n">
        <v>166607.9018382353</v>
      </c>
      <c r="P127" s="5" t="n">
        <v>0.66</v>
      </c>
      <c r="Q127" s="3" t="n">
        <v>110250</v>
      </c>
      <c r="R127" s="5" t="n">
        <v>0.4861978537414965</v>
      </c>
      <c r="S127" s="3" t="n">
        <v>117</v>
      </c>
      <c r="T127" s="5" t="n">
        <v>0.861668652930403</v>
      </c>
      <c r="U127" s="6" t="n"/>
    </row>
    <row r="128">
      <c r="A128" s="2" t="inlineStr">
        <is>
          <t>ANCIENT</t>
        </is>
      </c>
      <c r="B128" s="2" t="inlineStr">
        <is>
          <t>CERTEZA MESH LONG SLEEVE BODY</t>
        </is>
      </c>
      <c r="C128" s="2" t="inlineStr">
        <is>
          <t>295027/CHOLT</t>
        </is>
      </c>
      <c r="D128" s="2" t="n">
        <v>8000</v>
      </c>
      <c r="E128" s="3" t="n">
        <v>44907.3</v>
      </c>
      <c r="F128" s="4" t="n">
        <v>11739.386625</v>
      </c>
      <c r="G128" s="3">
        <f>IF(OR(E128="",F128=""),"",E128+F128)</f>
        <v/>
      </c>
      <c r="H128" s="3" t="n">
        <v>67409.55708375</v>
      </c>
      <c r="I128" s="3" t="n">
        <v>168523.892709375</v>
      </c>
      <c r="J128" s="3" t="n">
        <v>169900</v>
      </c>
      <c r="K128" s="3" t="n">
        <v>81380.67226890755</v>
      </c>
      <c r="L128" s="5" t="n">
        <v>0.3039294829388803</v>
      </c>
      <c r="M128" s="3" t="n">
        <v>99684.18487394958</v>
      </c>
      <c r="N128" s="5" t="n">
        <v>0.4317384779077081</v>
      </c>
      <c r="O128" s="3" t="n">
        <v>166607.9018382353</v>
      </c>
      <c r="P128" s="5" t="n">
        <v>0.66</v>
      </c>
      <c r="Q128" s="3" t="n">
        <v>110250</v>
      </c>
      <c r="R128" s="5" t="n">
        <v>0.4861978537414965</v>
      </c>
      <c r="S128" s="3" t="n">
        <v>117</v>
      </c>
      <c r="T128" s="5" t="n">
        <v>0.861668652930403</v>
      </c>
      <c r="U128" s="6" t="n"/>
    </row>
    <row r="129">
      <c r="A129" s="2" t="inlineStr">
        <is>
          <t>ANCIENT</t>
        </is>
      </c>
      <c r="B129" s="2" t="inlineStr">
        <is>
          <t>SET MESH KNIT PANTS</t>
        </is>
      </c>
      <c r="C129" s="2" t="n"/>
      <c r="D129" s="2" t="n">
        <v>8000</v>
      </c>
      <c r="E129" s="3" t="n">
        <v>67989.1125</v>
      </c>
      <c r="F129" s="4" t="n">
        <v>11739.386625</v>
      </c>
      <c r="G129" s="3">
        <f>IF(OR(E129="",F129=""),"",E129+F129)</f>
        <v/>
      </c>
      <c r="H129" s="3" t="n">
        <v>94876.91395875</v>
      </c>
      <c r="I129" s="3" t="n">
        <v>237192.284896875</v>
      </c>
      <c r="J129" s="3" t="n">
        <v>259900</v>
      </c>
      <c r="K129" s="3" t="n">
        <v>124489.9159663865</v>
      </c>
      <c r="L129" s="5" t="n">
        <v>0.3595585754389339</v>
      </c>
      <c r="M129" s="3" t="n">
        <v>152489.2268907563</v>
      </c>
      <c r="N129" s="5" t="n">
        <v>0.4771532340306393</v>
      </c>
      <c r="O129" s="3" t="n">
        <v>234495.5856617647</v>
      </c>
      <c r="P129" s="5" t="n">
        <v>0.6599999999999999</v>
      </c>
      <c r="Q129" s="3" t="n">
        <v>176400</v>
      </c>
      <c r="R129" s="5" t="n">
        <v>0.5480243813775511</v>
      </c>
      <c r="S129" s="3" t="n">
        <v>187.2</v>
      </c>
      <c r="T129" s="5" t="n">
        <v>0.8783142565247254</v>
      </c>
      <c r="U129" s="7" t="inlineStr">
        <is>
          <t>Falta código de referencia (SKU) en el archivo original</t>
        </is>
      </c>
    </row>
    <row r="130">
      <c r="A130" s="2" t="inlineStr">
        <is>
          <t>ANCIENT</t>
        </is>
      </c>
      <c r="B130" s="2" t="inlineStr">
        <is>
          <t>TOTE BAG</t>
        </is>
      </c>
      <c r="C130" s="2" t="n"/>
      <c r="D130" s="2" t="n">
        <v>8000</v>
      </c>
      <c r="E130" s="3" t="n">
        <v>15000</v>
      </c>
      <c r="F130" s="4" t="n">
        <v>6750</v>
      </c>
      <c r="G130" s="3">
        <f>IF(OR(E130="",F130=""),"",E130+F130)</f>
        <v/>
      </c>
      <c r="H130" s="3" t="n">
        <v>25882.5</v>
      </c>
      <c r="I130" s="3" t="n">
        <v>64706.25</v>
      </c>
      <c r="J130" s="3" t="n">
        <v>59900</v>
      </c>
      <c r="K130" s="3" t="n">
        <v>40268.90756302522</v>
      </c>
      <c r="L130" s="5" t="n">
        <v>0.4598810517529217</v>
      </c>
      <c r="M130" s="3" t="n">
        <v>35144.68907563025</v>
      </c>
      <c r="N130" s="5" t="n">
        <v>0.3811298215444532</v>
      </c>
      <c r="O130" s="3" t="n">
        <v>63970.58823529411</v>
      </c>
      <c r="P130" s="5" t="n">
        <v>0.6599999999999999</v>
      </c>
      <c r="Q130" s="3" t="n">
        <v>176400</v>
      </c>
      <c r="R130" s="5" t="n">
        <v>0.8767006802721088</v>
      </c>
      <c r="S130" s="3" t="n">
        <v>187.2</v>
      </c>
      <c r="T130" s="5" t="n">
        <v>0.9668040293040293</v>
      </c>
      <c r="U130" s="7" t="inlineStr">
        <is>
          <t>Falta código de referencia (SKU) en el archivo original</t>
        </is>
      </c>
    </row>
    <row r="131">
      <c r="A131" s="2" t="inlineStr">
        <is>
          <t>ANCIENT</t>
        </is>
      </c>
      <c r="B131" s="2" t="inlineStr">
        <is>
          <t>SOLAR T-SHIRT</t>
        </is>
      </c>
      <c r="C131" s="2" t="inlineStr">
        <is>
          <t>28TSH20/SLR</t>
        </is>
      </c>
      <c r="D131" s="2" t="n">
        <v>8000</v>
      </c>
      <c r="E131" s="3" t="n">
        <v>38669.64705882353</v>
      </c>
      <c r="F131" s="4" t="n">
        <v>6750</v>
      </c>
      <c r="G131" s="3">
        <f>IF(OR(E131="",F131=""),"",E131+F131)</f>
        <v/>
      </c>
      <c r="H131" s="3" t="n">
        <v>54049.38</v>
      </c>
      <c r="I131" s="3" t="n">
        <v>135123.45</v>
      </c>
      <c r="J131" s="3" t="n">
        <v>129900</v>
      </c>
      <c r="K131" s="3" t="n">
        <v>62221.00840336135</v>
      </c>
      <c r="L131" s="5" t="n">
        <v>0.2700271463879097</v>
      </c>
      <c r="M131" s="3" t="n">
        <v>76215.27731092437</v>
      </c>
      <c r="N131" s="5" t="n">
        <v>0.4040611192224413</v>
      </c>
      <c r="O131" s="3" t="n">
        <v>133587.1972318339</v>
      </c>
      <c r="P131" s="5" t="n">
        <v>0.66</v>
      </c>
      <c r="Q131" s="3" t="n">
        <v>83299.99999999999</v>
      </c>
      <c r="R131" s="5" t="n">
        <v>0.4547461337476166</v>
      </c>
      <c r="S131" s="3" t="n">
        <v>88.40000000000001</v>
      </c>
      <c r="T131" s="5" t="n">
        <v>0.8532008821628198</v>
      </c>
      <c r="U131" s="6" t="n"/>
    </row>
    <row r="132">
      <c r="A132" s="2" t="inlineStr">
        <is>
          <t>ANCIENT</t>
        </is>
      </c>
      <c r="B132" s="2" t="inlineStr">
        <is>
          <t>COLLAR AMARILLO</t>
        </is>
      </c>
      <c r="C132" s="2" t="n"/>
      <c r="D132" s="2" t="n">
        <v>8000</v>
      </c>
      <c r="E132" s="3" t="n">
        <v>25000</v>
      </c>
      <c r="F132" s="4" t="n">
        <v>3800</v>
      </c>
      <c r="G132" s="3">
        <f>IF(OR(E132="",F132=""),"",E132+F132)</f>
        <v/>
      </c>
      <c r="H132" s="3" t="n">
        <v>34272</v>
      </c>
      <c r="I132" s="3" t="n">
        <v>85680</v>
      </c>
      <c r="J132" s="3" t="n">
        <v>79900</v>
      </c>
      <c r="K132" s="3" t="n">
        <v>38271.42857142857</v>
      </c>
      <c r="L132" s="5" t="n">
        <v>0.2474804031354984</v>
      </c>
      <c r="M132" s="3" t="n">
        <v>46879.14285714286</v>
      </c>
      <c r="N132" s="5" t="n">
        <v>0.3856542964583701</v>
      </c>
      <c r="O132" s="3" t="n">
        <v>84705.88235294117</v>
      </c>
      <c r="P132" s="5" t="n">
        <v>0.66</v>
      </c>
      <c r="Q132" s="3" t="n">
        <v>83299.99999999999</v>
      </c>
      <c r="R132" s="5" t="n">
        <v>0.6542617046818727</v>
      </c>
      <c r="S132" s="3" t="n">
        <v>88.40000000000001</v>
      </c>
      <c r="T132" s="5" t="n">
        <v>0.9069166127989657</v>
      </c>
      <c r="U132" s="7" t="inlineStr">
        <is>
          <t>Falta código de referencia (SKU) en el archivo original</t>
        </is>
      </c>
    </row>
    <row r="133">
      <c r="A133" s="2" t="inlineStr">
        <is>
          <t>ANCIENT</t>
        </is>
      </c>
      <c r="B133" s="2" t="inlineStr">
        <is>
          <t>COLLAR AZUL</t>
        </is>
      </c>
      <c r="C133" s="2" t="n"/>
      <c r="D133" s="2" t="n">
        <v>8000</v>
      </c>
      <c r="E133" s="3" t="n">
        <v>18000</v>
      </c>
      <c r="F133" s="4" t="n">
        <v>3800</v>
      </c>
      <c r="G133" s="3">
        <f>IF(OR(E133="",F133=""),"",E133+F133)</f>
        <v/>
      </c>
      <c r="H133" s="3" t="n">
        <v>25942</v>
      </c>
      <c r="I133" s="3" t="n">
        <v>64855</v>
      </c>
      <c r="J133" s="3" t="n">
        <v>69900</v>
      </c>
      <c r="K133" s="3" t="n">
        <v>33481.51260504201</v>
      </c>
      <c r="L133" s="5" t="n">
        <v>0.3488944105614536</v>
      </c>
      <c r="M133" s="3" t="n">
        <v>41011.91596638655</v>
      </c>
      <c r="N133" s="5" t="n">
        <v>0.4684471698940541</v>
      </c>
      <c r="O133" s="3" t="n">
        <v>64117.64705882352</v>
      </c>
      <c r="P133" s="5" t="n">
        <v>0.6599999999999999</v>
      </c>
      <c r="Q133" s="3" t="n">
        <v>83299.99999999999</v>
      </c>
      <c r="R133" s="5" t="n">
        <v>0.7382953181272508</v>
      </c>
      <c r="S133" s="3" t="n">
        <v>88.40000000000001</v>
      </c>
      <c r="T133" s="5" t="n">
        <v>0.929541047188106</v>
      </c>
      <c r="U133" s="7" t="inlineStr">
        <is>
          <t>Falta código de referencia (SKU) en el archivo original</t>
        </is>
      </c>
    </row>
    <row r="134">
      <c r="A134" s="2" t="inlineStr">
        <is>
          <t>ANCIENT</t>
        </is>
      </c>
      <c r="B134" s="2" t="inlineStr">
        <is>
          <t>COLLAR ROJO</t>
        </is>
      </c>
      <c r="C134" s="2" t="n"/>
      <c r="D134" s="2" t="n">
        <v>8000</v>
      </c>
      <c r="E134" s="3" t="n">
        <v>18000</v>
      </c>
      <c r="F134" s="4" t="n">
        <v>3800</v>
      </c>
      <c r="G134" s="3">
        <f>IF(OR(E134="",F134=""),"",E134+F134)</f>
        <v/>
      </c>
      <c r="H134" s="3" t="n">
        <v>25942</v>
      </c>
      <c r="I134" s="3" t="n">
        <v>64855</v>
      </c>
      <c r="J134" s="3" t="n">
        <v>69900</v>
      </c>
      <c r="K134" s="3" t="n">
        <v>33481.51260504201</v>
      </c>
      <c r="L134" s="5" t="n">
        <v>0.3488944105614536</v>
      </c>
      <c r="M134" s="3" t="n">
        <v>41011.91596638655</v>
      </c>
      <c r="N134" s="5" t="n">
        <v>0.4684471698940541</v>
      </c>
      <c r="O134" s="3" t="n">
        <v>64117.64705882352</v>
      </c>
      <c r="P134" s="5" t="n">
        <v>0.6599999999999999</v>
      </c>
      <c r="Q134" s="3" t="n">
        <v>83299.99999999999</v>
      </c>
      <c r="R134" s="5" t="n">
        <v>0.7382953181272508</v>
      </c>
      <c r="S134" s="3" t="n">
        <v>88.40000000000001</v>
      </c>
      <c r="T134" s="5" t="n">
        <v>0.929541047188106</v>
      </c>
      <c r="U134" s="7" t="inlineStr">
        <is>
          <t>Falta código de referencia (SKU) en el archivo original</t>
        </is>
      </c>
    </row>
    <row r="135">
      <c r="A135" s="2" t="inlineStr">
        <is>
          <t>ANCIENT</t>
        </is>
      </c>
      <c r="B135" s="2" t="inlineStr">
        <is>
          <t>COLLAR ROJO</t>
        </is>
      </c>
      <c r="C135" s="2" t="n"/>
      <c r="D135" s="2" t="n">
        <v>8000</v>
      </c>
      <c r="E135" s="3" t="n">
        <v>43000</v>
      </c>
      <c r="F135" s="4" t="n">
        <v>3800</v>
      </c>
      <c r="G135" s="3">
        <f>IF(OR(E135="",F135=""),"",E135+F135)</f>
        <v/>
      </c>
      <c r="H135" s="3" t="n">
        <v>55692</v>
      </c>
      <c r="I135" s="3" t="n">
        <v>139230</v>
      </c>
      <c r="J135" s="3" t="n">
        <v>134820</v>
      </c>
      <c r="K135" s="3" t="n">
        <v>64577.64705882352</v>
      </c>
      <c r="L135" s="5" t="n">
        <v>0.2752910313166092</v>
      </c>
      <c r="M135" s="3" t="n">
        <v>79101.95294117647</v>
      </c>
      <c r="N135" s="5" t="n">
        <v>0.4083584758671832</v>
      </c>
      <c r="O135" s="3" t="n">
        <v>85090.90909090909</v>
      </c>
      <c r="P135" s="5" t="n">
        <v>0.45</v>
      </c>
      <c r="Q135" s="3" t="n">
        <v>58799.99999999999</v>
      </c>
      <c r="R135" s="5" t="n">
        <v>0.2040816326530611</v>
      </c>
      <c r="S135" s="3" t="n">
        <v>62.40000000000001</v>
      </c>
      <c r="T135" s="5" t="n">
        <v>0.7857142857142857</v>
      </c>
      <c r="U135" s="7" t="inlineStr">
        <is>
          <t>Falta código de referencia (SKU) en el archivo original</t>
        </is>
      </c>
    </row>
    <row r="136">
      <c r="A136" s="2" t="inlineStr">
        <is>
          <t>ANCIENT</t>
        </is>
      </c>
      <c r="B136" s="2" t="inlineStr">
        <is>
          <t>COLOMBIA MESH SHIRT</t>
        </is>
      </c>
      <c r="C136" s="2" t="inlineStr">
        <is>
          <t>28CA36/COL</t>
        </is>
      </c>
      <c r="D136" s="2" t="n">
        <v>8000</v>
      </c>
      <c r="E136" s="3" t="n">
        <v>32455.55913978495</v>
      </c>
      <c r="F136" s="4" t="n">
        <v>11739.386625</v>
      </c>
      <c r="G136" s="3">
        <f>IF(OR(E136="",F136=""),"",E136+F136)</f>
        <v/>
      </c>
      <c r="H136" s="3" t="n">
        <v>52591.98546009409</v>
      </c>
      <c r="I136" s="3" t="n">
        <v>131479.9636502352</v>
      </c>
      <c r="J136" s="3" t="n">
        <v>129900</v>
      </c>
      <c r="K136" s="3" t="n">
        <v>62221.00840336135</v>
      </c>
      <c r="L136" s="5" t="n">
        <v>0.2897102297301016</v>
      </c>
      <c r="M136" s="3" t="n">
        <v>76215.27731092437</v>
      </c>
      <c r="N136" s="5" t="n">
        <v>0.4201300930194184</v>
      </c>
      <c r="O136" s="3" t="n">
        <v>98210.99058841099</v>
      </c>
      <c r="P136" s="5" t="n">
        <v>0.5499999999999999</v>
      </c>
      <c r="Q136" s="3" t="n">
        <v>95549.99999999999</v>
      </c>
      <c r="R136" s="5" t="n">
        <v>0.5374678622209842</v>
      </c>
      <c r="S136" s="3" t="n">
        <v>101.4</v>
      </c>
      <c r="T136" s="5" t="n">
        <v>0.8754721167518035</v>
      </c>
      <c r="U136" s="6" t="n"/>
    </row>
    <row r="137">
      <c r="A137" s="2" t="inlineStr">
        <is>
          <t>LA EMPERATRIZ</t>
        </is>
      </c>
      <c r="B137" s="2" t="inlineStr">
        <is>
          <t>GALAXIA TRIANGLE TOP</t>
        </is>
      </c>
      <c r="C137" s="2" t="inlineStr">
        <is>
          <t>273135/GAXA</t>
        </is>
      </c>
      <c r="D137" s="2" t="n">
        <v>8000</v>
      </c>
      <c r="E137" s="3" t="n">
        <v>23468.75493028096</v>
      </c>
      <c r="F137" s="4" t="n">
        <v>10185.03125</v>
      </c>
      <c r="G137" s="3">
        <f>IF(OR(E137="",F137=""),"",E137+F137)</f>
        <v/>
      </c>
      <c r="H137" s="3" t="n">
        <v>40048.00555453433</v>
      </c>
      <c r="I137" s="3" t="n">
        <v>100120.0138863358</v>
      </c>
      <c r="J137" s="3" t="n">
        <v>109900</v>
      </c>
      <c r="K137" s="3" t="n">
        <v>50794.11764705883</v>
      </c>
      <c r="L137" s="5" t="n">
        <v>0.3374471742156616</v>
      </c>
      <c r="M137" s="3" t="n">
        <v>64647.05882352941</v>
      </c>
      <c r="N137" s="5" t="n">
        <v>0.4794227797408769</v>
      </c>
      <c r="O137" s="3" t="n">
        <v>98829.64</v>
      </c>
      <c r="P137" s="5" t="n">
        <v>0.6594767907655946</v>
      </c>
      <c r="Q137" s="3" t="n">
        <v>69160</v>
      </c>
      <c r="R137" s="5" t="n">
        <v>0.5133923340040347</v>
      </c>
      <c r="S137" s="3" t="n">
        <v>67.60000000000001</v>
      </c>
      <c r="T137" s="5" t="n">
        <v>0.8689902437703171</v>
      </c>
      <c r="U137" s="6" t="n"/>
    </row>
    <row r="138">
      <c r="A138" s="2" t="inlineStr">
        <is>
          <t>LA EMPERATRIZ</t>
        </is>
      </c>
      <c r="B138" s="2" t="inlineStr">
        <is>
          <t>GALAXIA STRAP TIE SIDE BOTTOM</t>
        </is>
      </c>
      <c r="C138" s="2" t="inlineStr">
        <is>
          <t>273236/GAXA</t>
        </is>
      </c>
      <c r="D138" s="2" t="n">
        <v>8000</v>
      </c>
      <c r="E138" s="3" t="n">
        <v>30111.429105</v>
      </c>
      <c r="F138" s="4" t="n">
        <v>10185.03125</v>
      </c>
      <c r="G138" s="3">
        <f>IF(OR(E138="",F138=""),"",E138+F138)</f>
        <v/>
      </c>
      <c r="H138" s="3" t="n">
        <v>47952.78782245</v>
      </c>
      <c r="I138" s="3" t="n">
        <v>119881.969556125</v>
      </c>
      <c r="J138" s="3" t="n">
        <v>119900</v>
      </c>
      <c r="K138" s="3" t="n">
        <v>55415.96638655462</v>
      </c>
      <c r="L138" s="5" t="n">
        <v>0.2728366392834938</v>
      </c>
      <c r="M138" s="3" t="n">
        <v>70529.41176470587</v>
      </c>
      <c r="N138" s="5" t="n">
        <v>0.4286573594370308</v>
      </c>
      <c r="O138" s="3" t="n">
        <v>98829.64</v>
      </c>
      <c r="P138" s="5" t="n">
        <v>0.5922634105011412</v>
      </c>
      <c r="Q138" s="3" t="n">
        <v>69160</v>
      </c>
      <c r="R138" s="5" t="n">
        <v>0.4173444136061307</v>
      </c>
      <c r="S138" s="3" t="n">
        <v>67.60000000000001</v>
      </c>
      <c r="T138" s="5" t="n">
        <v>0.8431311882785736</v>
      </c>
      <c r="U138" s="6" t="n"/>
    </row>
    <row r="139">
      <c r="A139" s="2" t="inlineStr">
        <is>
          <t>LA EMPERATRIZ</t>
        </is>
      </c>
      <c r="B139" s="2" t="inlineStr">
        <is>
          <t>GALAXIA UNDERWIRE BRALETTE TOP</t>
        </is>
      </c>
      <c r="C139" s="2" t="inlineStr">
        <is>
          <t>273149/GAXA</t>
        </is>
      </c>
      <c r="D139" s="2" t="n">
        <v>8000</v>
      </c>
      <c r="E139" s="3" t="n">
        <v>36308.72871428572</v>
      </c>
      <c r="F139" s="4" t="n">
        <v>10185.03125</v>
      </c>
      <c r="G139" s="3">
        <f>IF(OR(E139="",F139=""),"",E139+F139)</f>
        <v/>
      </c>
      <c r="H139" s="3" t="n">
        <v>55327.5743575</v>
      </c>
      <c r="I139" s="3" t="n">
        <v>138318.93589375</v>
      </c>
      <c r="J139" s="3" t="n">
        <v>139900</v>
      </c>
      <c r="K139" s="3" t="n">
        <v>64659.66386554623</v>
      </c>
      <c r="L139" s="5" t="n">
        <v>0.2809464636103711</v>
      </c>
      <c r="M139" s="3" t="n">
        <v>82294.11764705883</v>
      </c>
      <c r="N139" s="5" t="n">
        <v>0.4350293642652915</v>
      </c>
      <c r="O139" s="3" t="n">
        <v>121636.48</v>
      </c>
      <c r="P139" s="5" t="n">
        <v>0.6177646708924354</v>
      </c>
      <c r="Q139" s="3" t="n">
        <v>85120</v>
      </c>
      <c r="R139" s="5" t="n">
        <v>0.45378571470529</v>
      </c>
      <c r="S139" s="3" t="n">
        <v>83.2</v>
      </c>
      <c r="T139" s="5" t="n">
        <v>0.8529423078052704</v>
      </c>
      <c r="U139" s="6" t="n"/>
    </row>
    <row r="140">
      <c r="A140" s="2" t="inlineStr">
        <is>
          <t>LA EMPERATRIZ</t>
        </is>
      </c>
      <c r="B140" s="2" t="inlineStr">
        <is>
          <t>GALAXIA HIGH WAIST BOTTOM</t>
        </is>
      </c>
      <c r="C140" s="2" t="inlineStr">
        <is>
          <t>273223/GAXA</t>
        </is>
      </c>
      <c r="D140" s="2" t="n">
        <v>8000</v>
      </c>
      <c r="E140" s="3" t="n">
        <v>23991.995</v>
      </c>
      <c r="F140" s="4" t="n">
        <v>10185.03125</v>
      </c>
      <c r="G140" s="3">
        <f>IF(OR(E140="",F140=""),"",E140+F140)</f>
        <v/>
      </c>
      <c r="H140" s="3" t="n">
        <v>40670.66123749999</v>
      </c>
      <c r="I140" s="3" t="n">
        <v>101676.65309375</v>
      </c>
      <c r="J140" s="3" t="n">
        <v>109900</v>
      </c>
      <c r="K140" s="3" t="n">
        <v>50794.11764705883</v>
      </c>
      <c r="L140" s="5" t="n">
        <v>0.3271459800231616</v>
      </c>
      <c r="M140" s="3" t="n">
        <v>64647.05882352941</v>
      </c>
      <c r="N140" s="5" t="n">
        <v>0.4713289843039127</v>
      </c>
      <c r="O140" s="3" t="n">
        <v>98829.64</v>
      </c>
      <c r="P140" s="5" t="n">
        <v>0.6541824269520764</v>
      </c>
      <c r="Q140" s="3" t="n">
        <v>69160</v>
      </c>
      <c r="R140" s="5" t="n">
        <v>0.5058266881145171</v>
      </c>
      <c r="S140" s="3" t="n">
        <v>67.60000000000001</v>
      </c>
      <c r="T140" s="5" t="n">
        <v>0.8669533391077546</v>
      </c>
      <c r="U140" s="6" t="n"/>
    </row>
    <row r="141">
      <c r="A141" s="2" t="inlineStr">
        <is>
          <t>LA EMPERATRIZ</t>
        </is>
      </c>
      <c r="B141" s="2" t="inlineStr">
        <is>
          <t>GALAXIA HALTER STRAP ONE PIECE</t>
        </is>
      </c>
      <c r="C141" s="2" t="inlineStr">
        <is>
          <t>273372/GAXA</t>
        </is>
      </c>
      <c r="D141" s="2" t="n">
        <v>8000</v>
      </c>
      <c r="E141" s="3" t="n">
        <v>47702.31</v>
      </c>
      <c r="F141" s="4" t="n">
        <v>10185.03125</v>
      </c>
      <c r="G141" s="3">
        <f>IF(OR(E141="",F141=""),"",E141+F141)</f>
        <v/>
      </c>
      <c r="H141" s="3" t="n">
        <v>68885.9360875</v>
      </c>
      <c r="I141" s="3" t="n">
        <v>172214.84021875</v>
      </c>
      <c r="J141" s="3" t="n">
        <v>199900</v>
      </c>
      <c r="K141" s="3" t="n">
        <v>92390.75630252103</v>
      </c>
      <c r="L141" s="5" t="n">
        <v>0.3734509428577927</v>
      </c>
      <c r="M141" s="3" t="n">
        <v>117588.2352941176</v>
      </c>
      <c r="N141" s="5" t="n">
        <v>0.5077114551025512</v>
      </c>
      <c r="O141" s="3" t="n">
        <v>209062.7</v>
      </c>
      <c r="P141" s="5" t="n">
        <v>0.7231101423161569</v>
      </c>
      <c r="Q141" s="3" t="n">
        <v>146300</v>
      </c>
      <c r="R141" s="5" t="n">
        <v>0.6043243933697882</v>
      </c>
      <c r="S141" s="3" t="n">
        <v>143</v>
      </c>
      <c r="T141" s="5" t="n">
        <v>0.8934719520610968</v>
      </c>
      <c r="U141" s="6" t="n"/>
    </row>
    <row r="142">
      <c r="A142" s="2" t="inlineStr">
        <is>
          <t>LA EMPERATRIZ</t>
        </is>
      </c>
      <c r="B142" s="2" t="inlineStr">
        <is>
          <t>GALAXIA STRAIGHT ONE PIECE</t>
        </is>
      </c>
      <c r="C142" s="2" t="inlineStr">
        <is>
          <t>273370/GAXA</t>
        </is>
      </c>
      <c r="D142" s="2" t="n">
        <v>8000</v>
      </c>
      <c r="E142" s="3" t="n">
        <v>41826.0998</v>
      </c>
      <c r="F142" s="4" t="n">
        <v>10185.03125</v>
      </c>
      <c r="G142" s="3">
        <f>IF(OR(E142="",F142=""),"",E142+F142)</f>
        <v/>
      </c>
      <c r="H142" s="3" t="n">
        <v>61893.2459495</v>
      </c>
      <c r="I142" s="3" t="n">
        <v>154733.11487375</v>
      </c>
      <c r="J142" s="3" t="n">
        <v>189900</v>
      </c>
      <c r="K142" s="3" t="n">
        <v>87768.90756302522</v>
      </c>
      <c r="L142" s="5" t="n">
        <v>0.4074082440566806</v>
      </c>
      <c r="M142" s="3" t="n">
        <v>111705.8823529412</v>
      </c>
      <c r="N142" s="5" t="n">
        <v>0.5343921917588204</v>
      </c>
      <c r="O142" s="3" t="n">
        <v>190057</v>
      </c>
      <c r="P142" s="5" t="n">
        <v>0.7263393032090373</v>
      </c>
      <c r="Q142" s="3" t="n">
        <v>133000</v>
      </c>
      <c r="R142" s="5" t="n">
        <v>0.6089388642857143</v>
      </c>
      <c r="S142" s="3" t="n">
        <v>130</v>
      </c>
      <c r="T142" s="5" t="n">
        <v>0.8947143096153846</v>
      </c>
      <c r="U142" s="6" t="n"/>
    </row>
    <row r="143">
      <c r="A143" s="2" t="inlineStr">
        <is>
          <t>LA EMPERATRIZ</t>
        </is>
      </c>
      <c r="B143" s="2" t="inlineStr">
        <is>
          <t>GALAXIA PAREO</t>
        </is>
      </c>
      <c r="C143" s="2" t="inlineStr">
        <is>
          <t>27RE22/GAXA</t>
        </is>
      </c>
      <c r="D143" s="2" t="n">
        <v>8000</v>
      </c>
      <c r="E143" s="3" t="n">
        <v>22789.02857142857</v>
      </c>
      <c r="F143" s="4" t="n">
        <v>10185.03125</v>
      </c>
      <c r="G143" s="3">
        <f>IF(OR(E143="",F143=""),"",E143+F143)</f>
        <v/>
      </c>
      <c r="H143" s="3" t="n">
        <v>39239.1311875</v>
      </c>
      <c r="I143" s="3" t="n">
        <v>98097.82796874999</v>
      </c>
      <c r="J143" s="3" t="n">
        <v>139900</v>
      </c>
      <c r="K143" s="3" t="n">
        <v>64659.66386554623</v>
      </c>
      <c r="L143" s="5" t="n">
        <v>0.4900366341217754</v>
      </c>
      <c r="M143" s="3" t="n">
        <v>82294.11764705883</v>
      </c>
      <c r="N143" s="5" t="n">
        <v>0.5993144982385378</v>
      </c>
      <c r="O143" s="3" t="n">
        <v>136841.04</v>
      </c>
      <c r="P143" s="5" t="n">
        <v>0.7590338408606908</v>
      </c>
      <c r="Q143" s="3" t="n">
        <v>95760</v>
      </c>
      <c r="R143" s="5" t="n">
        <v>0.6556593585899272</v>
      </c>
      <c r="S143" s="3" t="n">
        <v>93.60000000000001</v>
      </c>
      <c r="T143" s="5" t="n">
        <v>0.9072929042357497</v>
      </c>
      <c r="U143" s="6" t="n"/>
    </row>
    <row r="144">
      <c r="A144" s="2" t="inlineStr">
        <is>
          <t>LA EMPERATRIZ</t>
        </is>
      </c>
      <c r="B144" s="2" t="inlineStr">
        <is>
          <t>GALAXIA TOWEL</t>
        </is>
      </c>
      <c r="C144" s="2" t="inlineStr">
        <is>
          <t>27TO27/GAXA</t>
        </is>
      </c>
      <c r="D144" s="2" t="n">
        <v>8000</v>
      </c>
      <c r="E144" s="3" t="n">
        <v>30842</v>
      </c>
      <c r="F144" s="4" t="n">
        <v>10185.03125</v>
      </c>
      <c r="G144" s="3">
        <f>IF(OR(E144="",F144=""),"",E144+F144)</f>
        <v/>
      </c>
      <c r="H144" s="3" t="n">
        <v>48822.1671875</v>
      </c>
      <c r="I144" s="3" t="n">
        <v>122055.41796875</v>
      </c>
      <c r="J144" s="3" t="n">
        <v>89900</v>
      </c>
      <c r="K144" s="3" t="n">
        <v>41550.42016806723</v>
      </c>
      <c r="L144" s="5" t="n">
        <v>0.01259647714632437</v>
      </c>
      <c r="M144" s="3" t="n">
        <v>52882.35294117647</v>
      </c>
      <c r="N144" s="5" t="n">
        <v>0.2241829463292547</v>
      </c>
      <c r="O144" s="3" t="n">
        <v>106431.92</v>
      </c>
      <c r="P144" s="5" t="n">
        <v>0.6145232440606163</v>
      </c>
      <c r="Q144" s="3" t="n">
        <v>74479.99999999999</v>
      </c>
      <c r="R144" s="5" t="n">
        <v>0.4491537157626208</v>
      </c>
      <c r="S144" s="3" t="n">
        <v>72.8</v>
      </c>
      <c r="T144" s="5" t="n">
        <v>0.8516952311668594</v>
      </c>
      <c r="U144" s="6" t="n"/>
    </row>
    <row r="145">
      <c r="A145" s="2" t="inlineStr">
        <is>
          <t>LA EMPERATRIZ</t>
        </is>
      </c>
      <c r="B145" s="2" t="inlineStr">
        <is>
          <t>GALAXIA RUCHED MESH MAXI SKIRT</t>
        </is>
      </c>
      <c r="C145" s="2" t="inlineStr">
        <is>
          <t>27FA28/GAXA</t>
        </is>
      </c>
      <c r="D145" s="2" t="n">
        <v>8000</v>
      </c>
      <c r="E145" s="3" t="n">
        <v>30325</v>
      </c>
      <c r="F145" s="4" t="n">
        <v>10185.03125</v>
      </c>
      <c r="G145" s="3">
        <f>IF(OR(E145="",F145=""),"",E145+F145)</f>
        <v/>
      </c>
      <c r="H145" s="3" t="n">
        <v>48206.9371875</v>
      </c>
      <c r="I145" s="3" t="n">
        <v>120517.34296875</v>
      </c>
      <c r="J145" s="3" t="n">
        <v>129900</v>
      </c>
      <c r="K145" s="3" t="n">
        <v>60037.81512605043</v>
      </c>
      <c r="L145" s="5" t="n">
        <v>0.3252580700188958</v>
      </c>
      <c r="M145" s="3" t="n">
        <v>76411.76470588235</v>
      </c>
      <c r="N145" s="5" t="n">
        <v>0.469845626443418</v>
      </c>
      <c r="O145" s="3" t="n">
        <v>144443.32</v>
      </c>
      <c r="P145" s="5" t="n">
        <v>0.7195437542559946</v>
      </c>
      <c r="Q145" s="3" t="n">
        <v>101080</v>
      </c>
      <c r="R145" s="5" t="n">
        <v>0.5992280248318164</v>
      </c>
      <c r="S145" s="3" t="n">
        <v>98.8</v>
      </c>
      <c r="T145" s="5" t="n">
        <v>0.8920998528393351</v>
      </c>
      <c r="U145" s="6" t="n"/>
    </row>
    <row r="146">
      <c r="A146" s="2" t="inlineStr">
        <is>
          <t>LA EMPERATRIZ</t>
        </is>
      </c>
      <c r="B146" s="2" t="inlineStr">
        <is>
          <t>GALAXIA CARGO PANTS</t>
        </is>
      </c>
      <c r="C146" s="2" t="inlineStr">
        <is>
          <t>27PA25/GAXA</t>
        </is>
      </c>
      <c r="D146" s="2" t="n">
        <v>8000</v>
      </c>
      <c r="E146" s="3" t="n">
        <v>64756.51568253968</v>
      </c>
      <c r="F146" s="4" t="n">
        <v>10185.03125</v>
      </c>
      <c r="G146" s="3">
        <f>IF(OR(E146="",F146=""),"",E146+F146)</f>
        <v/>
      </c>
      <c r="H146" s="3" t="n">
        <v>89180.44084972222</v>
      </c>
      <c r="I146" s="3" t="n">
        <v>222951.1021243055</v>
      </c>
      <c r="J146" s="3" t="n">
        <v>189900</v>
      </c>
      <c r="K146" s="3" t="n">
        <v>87768.90756302522</v>
      </c>
      <c r="L146" s="5" t="n">
        <v>0.1461492570278882</v>
      </c>
      <c r="M146" s="3" t="n">
        <v>111705.8823529412</v>
      </c>
      <c r="N146" s="5" t="n">
        <v>0.3291172733790549</v>
      </c>
      <c r="O146" s="3" t="n">
        <v>212863.84</v>
      </c>
      <c r="P146" s="5" t="n">
        <v>0.6479366954362015</v>
      </c>
      <c r="Q146" s="3" t="n">
        <v>148960</v>
      </c>
      <c r="R146" s="5" t="n">
        <v>0.4969015377783318</v>
      </c>
      <c r="S146" s="3" t="n">
        <v>145.6</v>
      </c>
      <c r="T146" s="5" t="n">
        <v>0.8645504140172432</v>
      </c>
      <c r="U146" s="6" t="n"/>
    </row>
    <row r="147">
      <c r="A147" s="2" t="inlineStr">
        <is>
          <t>LA EMPERATRIZ</t>
        </is>
      </c>
      <c r="B147" s="2" t="inlineStr">
        <is>
          <t>GALAXIA T-SHIRT</t>
        </is>
      </c>
      <c r="C147" s="2" t="inlineStr">
        <is>
          <t>27TSH20/GAXA</t>
        </is>
      </c>
      <c r="D147" s="2" t="n">
        <v>8000</v>
      </c>
      <c r="E147" s="3" t="n">
        <v>35411.6</v>
      </c>
      <c r="F147" s="4" t="n">
        <v>10185.03125</v>
      </c>
      <c r="G147" s="3">
        <f>IF(OR(E147="",F147=""),"",E147+F147)</f>
        <v/>
      </c>
      <c r="H147" s="3" t="n">
        <v>54259.9911875</v>
      </c>
      <c r="I147" s="3" t="n">
        <v>135649.97796875</v>
      </c>
      <c r="J147" s="3" t="n">
        <v>129900</v>
      </c>
      <c r="K147" s="3" t="n">
        <v>60037.81512605043</v>
      </c>
      <c r="L147" s="5" t="n">
        <v>0.2405348003709148</v>
      </c>
      <c r="M147" s="3" t="n">
        <v>76411.76470588235</v>
      </c>
      <c r="N147" s="5" t="n">
        <v>0.4032773431485758</v>
      </c>
      <c r="O147" s="3" t="n">
        <v>129238.76</v>
      </c>
      <c r="P147" s="5" t="n">
        <v>0.6471907402237532</v>
      </c>
      <c r="Q147" s="3" t="n">
        <v>90439.99999999999</v>
      </c>
      <c r="R147" s="5" t="n">
        <v>0.4958355677797434</v>
      </c>
      <c r="S147" s="3" t="n">
        <v>88.40000000000001</v>
      </c>
      <c r="T147" s="5" t="n">
        <v>0.8642634220945464</v>
      </c>
      <c r="U147" s="6" t="n"/>
    </row>
    <row r="148">
      <c r="A148" s="2" t="inlineStr">
        <is>
          <t>LA EMPERATRIZ</t>
        </is>
      </c>
      <c r="B148" s="2" t="inlineStr">
        <is>
          <t>GALAXIA MESH LONG DRESS</t>
        </is>
      </c>
      <c r="C148" s="2" t="inlineStr">
        <is>
          <t>27VE36/GAXA</t>
        </is>
      </c>
      <c r="D148" s="2" t="n">
        <v>8000</v>
      </c>
      <c r="E148" s="3" t="n">
        <v>49635.625</v>
      </c>
      <c r="F148" s="4" t="n">
        <v>10185.03125</v>
      </c>
      <c r="G148" s="3">
        <f>IF(OR(E148="",F148=""),"",E148+F148)</f>
        <v/>
      </c>
      <c r="H148" s="3" t="n">
        <v>71186.5809375</v>
      </c>
      <c r="I148" s="3" t="n">
        <v>177966.45234375</v>
      </c>
      <c r="J148" s="3" t="n">
        <v>169900</v>
      </c>
      <c r="K148" s="3" t="n">
        <v>78525.21008403362</v>
      </c>
      <c r="L148" s="5" t="n">
        <v>0.2381980744020548</v>
      </c>
      <c r="M148" s="3" t="n">
        <v>99941.17647058824</v>
      </c>
      <c r="N148" s="5" t="n">
        <v>0.401441344173043</v>
      </c>
      <c r="O148" s="3" t="n">
        <v>182454.72</v>
      </c>
      <c r="P148" s="5" t="n">
        <v>0.6721342355517028</v>
      </c>
      <c r="Q148" s="3" t="n">
        <v>127680</v>
      </c>
      <c r="R148" s="5" t="n">
        <v>0.5314798226033834</v>
      </c>
      <c r="S148" s="3" t="n">
        <v>124.8</v>
      </c>
      <c r="T148" s="5" t="n">
        <v>0.8738599522393725</v>
      </c>
      <c r="U148" s="6" t="n"/>
    </row>
    <row r="149">
      <c r="A149" s="2" t="inlineStr">
        <is>
          <t>LA EMPERATRIZ</t>
        </is>
      </c>
      <c r="B149" s="2" t="inlineStr">
        <is>
          <t>GALAXIA MESH DRESS</t>
        </is>
      </c>
      <c r="C149" s="2" t="inlineStr">
        <is>
          <t>27VE32/GAXA</t>
        </is>
      </c>
      <c r="D149" s="2" t="n">
        <v>8000</v>
      </c>
      <c r="E149" s="3" t="n">
        <v>51220.07</v>
      </c>
      <c r="F149" s="4" t="n">
        <v>10185.03125</v>
      </c>
      <c r="G149" s="3">
        <f>IF(OR(E149="",F149=""),"",E149+F149)</f>
        <v/>
      </c>
      <c r="H149" s="3" t="n">
        <v>73072.07048749999</v>
      </c>
      <c r="I149" s="3" t="n">
        <v>182680.17621875</v>
      </c>
      <c r="J149" s="3" t="n">
        <v>169900</v>
      </c>
      <c r="K149" s="3" t="n">
        <v>78525.21008403362</v>
      </c>
      <c r="L149" s="5" t="n">
        <v>0.2180205416287657</v>
      </c>
      <c r="M149" s="3" t="n">
        <v>99941.17647058824</v>
      </c>
      <c r="N149" s="5" t="n">
        <v>0.3855875684226016</v>
      </c>
      <c r="O149" s="3" t="n">
        <v>182454.72</v>
      </c>
      <c r="P149" s="5" t="n">
        <v>0.6634501905459063</v>
      </c>
      <c r="Q149" s="3" t="n">
        <v>127680</v>
      </c>
      <c r="R149" s="5" t="n">
        <v>0.5190703222901003</v>
      </c>
      <c r="S149" s="3" t="n">
        <v>124.8</v>
      </c>
      <c r="T149" s="5" t="n">
        <v>0.8705189329242577</v>
      </c>
      <c r="U149" s="6" t="n"/>
    </row>
    <row r="150">
      <c r="A150" s="2" t="inlineStr">
        <is>
          <t>LA EMPERATRIZ</t>
        </is>
      </c>
      <c r="B150" s="2" t="inlineStr">
        <is>
          <t>GALAXIA MESH SHIRT</t>
        </is>
      </c>
      <c r="C150" s="2" t="inlineStr">
        <is>
          <t>27CA36/GAXA</t>
        </is>
      </c>
      <c r="D150" s="2" t="n">
        <v>8000</v>
      </c>
      <c r="E150" s="3" t="n">
        <v>30229.34408602151</v>
      </c>
      <c r="F150" s="4" t="n">
        <v>10185.03125</v>
      </c>
      <c r="G150" s="3">
        <f>IF(OR(E150="",F150=""),"",E150+F150)</f>
        <v/>
      </c>
      <c r="H150" s="3" t="n">
        <v>48093.10664986559</v>
      </c>
      <c r="I150" s="3" t="n">
        <v>120232.766624664</v>
      </c>
      <c r="J150" s="3" t="n">
        <v>129900</v>
      </c>
      <c r="K150" s="3" t="n">
        <v>60037.81512605043</v>
      </c>
      <c r="L150" s="5" t="n">
        <v>0.3268513310957298</v>
      </c>
      <c r="M150" s="3" t="n">
        <v>76411.76470588235</v>
      </c>
      <c r="N150" s="5" t="n">
        <v>0.4710974744323591</v>
      </c>
      <c r="O150" s="3" t="n">
        <v>144443.32</v>
      </c>
      <c r="P150" s="5" t="n">
        <v>0.7202059926618862</v>
      </c>
      <c r="Q150" s="3" t="n">
        <v>101080</v>
      </c>
      <c r="R150" s="5" t="n">
        <v>0.6001743635138355</v>
      </c>
      <c r="S150" s="3" t="n">
        <v>98.8</v>
      </c>
      <c r="T150" s="5" t="n">
        <v>0.8923546363306479</v>
      </c>
      <c r="U150" s="6" t="n"/>
    </row>
    <row r="151">
      <c r="A151" s="2" t="inlineStr">
        <is>
          <t>LA EMPERATRIZ</t>
        </is>
      </c>
      <c r="B151" s="2" t="inlineStr">
        <is>
          <t>GALAXIA MESH LONG SHIRT</t>
        </is>
      </c>
      <c r="C151" s="2" t="inlineStr">
        <is>
          <t>27CA32/GAXA</t>
        </is>
      </c>
      <c r="D151" s="2" t="n">
        <v>8000</v>
      </c>
      <c r="E151" s="3" t="n">
        <v>26982</v>
      </c>
      <c r="F151" s="4" t="n">
        <v>10185.03125</v>
      </c>
      <c r="G151" s="3">
        <f>IF(OR(E151="",F151=""),"",E151+F151)</f>
        <v/>
      </c>
      <c r="H151" s="3" t="n">
        <v>44228.7671875</v>
      </c>
      <c r="I151" s="3" t="n">
        <v>110571.91796875</v>
      </c>
      <c r="J151" s="3" t="n">
        <v>119900</v>
      </c>
      <c r="K151" s="3" t="n">
        <v>55415.96638655462</v>
      </c>
      <c r="L151" s="5" t="n">
        <v>0.3293082540374555</v>
      </c>
      <c r="M151" s="3" t="n">
        <v>70529.41176470587</v>
      </c>
      <c r="N151" s="5" t="n">
        <v>0.4730279138865721</v>
      </c>
      <c r="O151" s="3" t="n">
        <v>114034.2</v>
      </c>
      <c r="P151" s="5" t="n">
        <v>0.6740711887310999</v>
      </c>
      <c r="Q151" s="3" t="n">
        <v>79800</v>
      </c>
      <c r="R151" s="5" t="n">
        <v>0.5342477286967419</v>
      </c>
      <c r="S151" s="3" t="n">
        <v>78</v>
      </c>
      <c r="T151" s="5" t="n">
        <v>0.8746051577260459</v>
      </c>
      <c r="U151" s="6" t="n"/>
    </row>
    <row r="152">
      <c r="A152" s="2" t="inlineStr">
        <is>
          <t>LA EMPERATRIZ</t>
        </is>
      </c>
      <c r="B152" s="2" t="inlineStr">
        <is>
          <t>GALAXIA SLEEP SLEEVELESS SHIRT</t>
        </is>
      </c>
      <c r="C152" s="2" t="inlineStr">
        <is>
          <t>274124/GAXA</t>
        </is>
      </c>
      <c r="D152" s="2" t="n">
        <v>8000</v>
      </c>
      <c r="E152" s="3" t="n">
        <v>18336.66</v>
      </c>
      <c r="F152" s="4" t="n">
        <v>10185.03125</v>
      </c>
      <c r="G152" s="3">
        <f>IF(OR(E152="",F152=""),"",E152+F152)</f>
        <v/>
      </c>
      <c r="H152" s="3" t="n">
        <v>33940.8125875</v>
      </c>
      <c r="I152" s="3" t="n">
        <v>84852.03146874999</v>
      </c>
      <c r="J152" s="3" t="n">
        <v>79950</v>
      </c>
      <c r="K152" s="3" t="n">
        <v>36951.68067226891</v>
      </c>
      <c r="L152" s="5" t="n">
        <v>0.2281354804138952</v>
      </c>
      <c r="M152" s="3" t="n">
        <v>47029.41176470588</v>
      </c>
      <c r="N152" s="5" t="n">
        <v>0.3935350203252032</v>
      </c>
      <c r="O152" s="3" t="n">
        <v>49414.82</v>
      </c>
      <c r="P152" s="5" t="n">
        <v>0.4228109856516729</v>
      </c>
      <c r="Q152" s="3" t="n">
        <v>34580</v>
      </c>
      <c r="R152" s="5" t="n">
        <v>0.1751968984962406</v>
      </c>
      <c r="S152" s="3" t="n">
        <v>33.8</v>
      </c>
      <c r="T152" s="5" t="n">
        <v>0.7779376265182186</v>
      </c>
      <c r="U152" s="6" t="n"/>
    </row>
    <row r="153">
      <c r="A153" s="2" t="inlineStr">
        <is>
          <t>LA EMPERATRIZ</t>
        </is>
      </c>
      <c r="B153" s="2" t="inlineStr">
        <is>
          <t>GALAXIA SLEEP SHORT</t>
        </is>
      </c>
      <c r="C153" s="2" t="inlineStr">
        <is>
          <t>274222/GAXA</t>
        </is>
      </c>
      <c r="D153" s="2" t="n">
        <v>8000</v>
      </c>
      <c r="E153" s="3" t="n">
        <v>18737.81</v>
      </c>
      <c r="F153" s="4" t="n">
        <v>10185.03125</v>
      </c>
      <c r="G153" s="3">
        <f>IF(OR(E153="",F153=""),"",E153+F153)</f>
        <v/>
      </c>
      <c r="H153" s="3" t="n">
        <v>34418.1810875</v>
      </c>
      <c r="I153" s="3" t="n">
        <v>86045.45271874999</v>
      </c>
      <c r="J153" s="3" t="n">
        <v>99950</v>
      </c>
      <c r="K153" s="3" t="n">
        <v>46195.37815126051</v>
      </c>
      <c r="L153" s="5" t="n">
        <v>0.373901840238301</v>
      </c>
      <c r="M153" s="3" t="n">
        <v>58794.11764705882</v>
      </c>
      <c r="N153" s="5" t="n">
        <v>0.5080657316158078</v>
      </c>
      <c r="O153" s="3" t="n">
        <v>49414.82</v>
      </c>
      <c r="P153" s="5" t="n">
        <v>0.4146929757105257</v>
      </c>
      <c r="Q153" s="3" t="n">
        <v>34580</v>
      </c>
      <c r="R153" s="5" t="n">
        <v>0.1635962622903412</v>
      </c>
      <c r="S153" s="3" t="n">
        <v>33.8</v>
      </c>
      <c r="T153" s="5" t="n">
        <v>0.7748143783089381</v>
      </c>
      <c r="U153" s="6" t="n"/>
    </row>
    <row r="154">
      <c r="A154" s="2" t="inlineStr">
        <is>
          <t>LA EMPERATRIZ</t>
        </is>
      </c>
      <c r="B154" s="2" t="inlineStr">
        <is>
          <t>GALAXIA SLEEP LONG SHIRT</t>
        </is>
      </c>
      <c r="C154" s="2" t="inlineStr">
        <is>
          <t>274121/GAXA</t>
        </is>
      </c>
      <c r="D154" s="2" t="n">
        <v>8000</v>
      </c>
      <c r="E154" s="3" t="n">
        <v>32611.31</v>
      </c>
      <c r="F154" s="4" t="n">
        <v>10185.03125</v>
      </c>
      <c r="G154" s="3">
        <f>IF(OR(E154="",F154=""),"",E154+F154)</f>
        <v/>
      </c>
      <c r="H154" s="3" t="n">
        <v>50927.6460875</v>
      </c>
      <c r="I154" s="3" t="n">
        <v>127319.11521875</v>
      </c>
      <c r="J154" s="3" t="n">
        <v>99950</v>
      </c>
      <c r="K154" s="3" t="n">
        <v>46195.37815126051</v>
      </c>
      <c r="L154" s="5" t="n">
        <v>0.07357958820319273</v>
      </c>
      <c r="M154" s="3" t="n">
        <v>58794.11764705882</v>
      </c>
      <c r="N154" s="5" t="n">
        <v>0.2720982478739369</v>
      </c>
      <c r="O154" s="3" t="n">
        <v>64619.37999999999</v>
      </c>
      <c r="P154" s="5" t="n">
        <v>0.3377166223198055</v>
      </c>
      <c r="Q154" s="3" t="n">
        <v>45219.99999999999</v>
      </c>
      <c r="R154" s="5" t="n">
        <v>0.05359705329500211</v>
      </c>
      <c r="S154" s="3" t="n">
        <v>44.2</v>
      </c>
      <c r="T154" s="5" t="n">
        <v>0.7451992066563468</v>
      </c>
      <c r="U154" s="6" t="n"/>
    </row>
    <row r="155">
      <c r="A155" s="2" t="inlineStr">
        <is>
          <t>LA EMPERATRIZ</t>
        </is>
      </c>
      <c r="B155" s="2" t="inlineStr">
        <is>
          <t>GALAXIA SLEEP PANTS</t>
        </is>
      </c>
      <c r="C155" s="2" t="inlineStr">
        <is>
          <t>274323/GAXA</t>
        </is>
      </c>
      <c r="D155" s="2" t="n">
        <v>8000</v>
      </c>
      <c r="E155" s="3" t="n">
        <v>28786.53</v>
      </c>
      <c r="F155" s="4" t="n">
        <v>10185.03125</v>
      </c>
      <c r="G155" s="3">
        <f>IF(OR(E155="",F155=""),"",E155+F155)</f>
        <v/>
      </c>
      <c r="H155" s="3" t="n">
        <v>46376.1578875</v>
      </c>
      <c r="I155" s="3" t="n">
        <v>115940.39471875</v>
      </c>
      <c r="J155" s="3" t="n">
        <v>99950</v>
      </c>
      <c r="K155" s="3" t="n">
        <v>46195.37815126051</v>
      </c>
      <c r="L155" s="5" t="n">
        <v>0.1563753169766703</v>
      </c>
      <c r="M155" s="3" t="n">
        <v>58794.11764705882</v>
      </c>
      <c r="N155" s="5" t="n">
        <v>0.3371520347673836</v>
      </c>
      <c r="O155" s="3" t="n">
        <v>57017.1</v>
      </c>
      <c r="P155" s="5" t="n">
        <v>0.3164934510874808</v>
      </c>
      <c r="Q155" s="3" t="n">
        <v>39900</v>
      </c>
      <c r="R155" s="5" t="n">
        <v>0.02326914160401005</v>
      </c>
      <c r="S155" s="3" t="n">
        <v>39</v>
      </c>
      <c r="T155" s="5" t="n">
        <v>0.7370339996626181</v>
      </c>
      <c r="U155" s="6" t="n"/>
    </row>
    <row r="156">
      <c r="A156" s="2" t="inlineStr">
        <is>
          <t>LA EMPERATRIZ</t>
        </is>
      </c>
      <c r="B156" s="2" t="inlineStr">
        <is>
          <t>GALAXIA SLEEP SHORT SLEEVELESS SHIRT</t>
        </is>
      </c>
      <c r="C156" s="2" t="inlineStr">
        <is>
          <t>274125/GAXA</t>
        </is>
      </c>
      <c r="D156" s="2" t="n">
        <v>8000</v>
      </c>
      <c r="E156" s="3" t="n">
        <v>21807.84375</v>
      </c>
      <c r="F156" s="4" t="n">
        <v>10185.03125</v>
      </c>
      <c r="G156" s="3">
        <f>IF(OR(E156="",F156=""),"",E156+F156)</f>
        <v/>
      </c>
      <c r="H156" s="3" t="n">
        <v>38071.52125</v>
      </c>
      <c r="I156" s="3" t="n">
        <v>95178.80312499999</v>
      </c>
      <c r="J156" s="3" t="n">
        <v>89950</v>
      </c>
      <c r="K156" s="3" t="n">
        <v>41573.52941176471</v>
      </c>
      <c r="L156" s="5" t="n">
        <v>0.2304508312698976</v>
      </c>
      <c r="M156" s="3" t="n">
        <v>52911.76470588235</v>
      </c>
      <c r="N156" s="5" t="n">
        <v>0.395354224569205</v>
      </c>
      <c r="O156" s="3" t="n">
        <v>53215.95999999999</v>
      </c>
      <c r="P156" s="5" t="n">
        <v>0.3988105260151277</v>
      </c>
      <c r="Q156" s="3" t="n">
        <v>37239.99999999999</v>
      </c>
      <c r="R156" s="5" t="n">
        <v>0.1409002416756175</v>
      </c>
      <c r="S156" s="3" t="n">
        <v>36.4</v>
      </c>
      <c r="T156" s="5" t="n">
        <v>0.7687039112203586</v>
      </c>
      <c r="U156" s="6" t="n"/>
    </row>
    <row r="157">
      <c r="A157" s="2" t="inlineStr">
        <is>
          <t>LA EMPERATRIZ</t>
        </is>
      </c>
      <c r="B157" s="2" t="inlineStr">
        <is>
          <t>I'M CHOCOLATE TRIANGLE TOP</t>
        </is>
      </c>
      <c r="C157" s="2" t="inlineStr">
        <is>
          <t>273135/CHOLT</t>
        </is>
      </c>
      <c r="D157" s="2" t="n">
        <v>8000</v>
      </c>
      <c r="E157" s="3" t="n">
        <v>31198.75589594173</v>
      </c>
      <c r="F157" s="4" t="n">
        <v>10185.03125</v>
      </c>
      <c r="G157" s="3">
        <f>IF(OR(E157="",F157=""),"",E157+F157)</f>
        <v/>
      </c>
      <c r="H157" s="3" t="n">
        <v>49246.70670367066</v>
      </c>
      <c r="I157" s="3" t="n">
        <v>123116.7667591766</v>
      </c>
      <c r="J157" s="3" t="n">
        <v>129900</v>
      </c>
      <c r="K157" s="3" t="n">
        <v>60037.81512605043</v>
      </c>
      <c r="L157" s="5" t="n">
        <v>0.3107046440804724</v>
      </c>
      <c r="M157" s="3" t="n">
        <v>76411.76470588235</v>
      </c>
      <c r="N157" s="5" t="n">
        <v>0.4584107917775139</v>
      </c>
      <c r="O157" s="3" t="n">
        <v>114034.2</v>
      </c>
      <c r="P157" s="5" t="n">
        <v>0.637093195322616</v>
      </c>
      <c r="Q157" s="3" t="n">
        <v>79800</v>
      </c>
      <c r="R157" s="5" t="n">
        <v>0.4814061761160184</v>
      </c>
      <c r="S157" s="3" t="n">
        <v>78</v>
      </c>
      <c r="T157" s="5" t="n">
        <v>0.8603785858773896</v>
      </c>
      <c r="U157" s="6" t="n"/>
    </row>
    <row r="158">
      <c r="A158" s="2" t="inlineStr">
        <is>
          <t>LA EMPERATRIZ</t>
        </is>
      </c>
      <c r="B158" s="2" t="inlineStr">
        <is>
          <t>I'M CHOCOLATE STRAP TIE SIDE BOTTOM</t>
        </is>
      </c>
      <c r="C158" s="2" t="inlineStr">
        <is>
          <t>273236/CHOLT</t>
        </is>
      </c>
      <c r="D158" s="2" t="n">
        <v>8000</v>
      </c>
      <c r="E158" s="3" t="n">
        <v>28402.929105</v>
      </c>
      <c r="F158" s="4" t="n">
        <v>10185.03125</v>
      </c>
      <c r="G158" s="3">
        <f>IF(OR(E158="",F158=""),"",E158+F158)</f>
        <v/>
      </c>
      <c r="H158" s="3" t="n">
        <v>45919.67282245</v>
      </c>
      <c r="I158" s="3" t="n">
        <v>114799.182056125</v>
      </c>
      <c r="J158" s="3" t="n">
        <v>119900</v>
      </c>
      <c r="K158" s="3" t="n">
        <v>55415.96638655462</v>
      </c>
      <c r="L158" s="5" t="n">
        <v>0.3036671040647509</v>
      </c>
      <c r="M158" s="3" t="n">
        <v>70529.41176470587</v>
      </c>
      <c r="N158" s="5" t="n">
        <v>0.4528812960508756</v>
      </c>
      <c r="O158" s="3" t="n">
        <v>106431.92</v>
      </c>
      <c r="P158" s="5" t="n">
        <v>0.6374399676807483</v>
      </c>
      <c r="Q158" s="3" t="n">
        <v>74479.99999999999</v>
      </c>
      <c r="R158" s="5" t="n">
        <v>0.4819017138157893</v>
      </c>
      <c r="S158" s="3" t="n">
        <v>72.8</v>
      </c>
      <c r="T158" s="5" t="n">
        <v>0.8605119998734818</v>
      </c>
      <c r="U158" s="6" t="n"/>
    </row>
    <row r="159">
      <c r="A159" s="2" t="inlineStr">
        <is>
          <t>LA EMPERATRIZ</t>
        </is>
      </c>
      <c r="B159" s="2" t="inlineStr">
        <is>
          <t>I'M CHOCOLATE RING BANDEAU TOP</t>
        </is>
      </c>
      <c r="C159" s="2" t="inlineStr">
        <is>
          <t>273141/CHOLT</t>
        </is>
      </c>
      <c r="D159" s="2" t="n">
        <v>8000</v>
      </c>
      <c r="E159" s="3" t="n">
        <v>43790</v>
      </c>
      <c r="F159" s="4" t="n">
        <v>10185.03125</v>
      </c>
      <c r="G159" s="3">
        <f>IF(OR(E159="",F159=""),"",E159+F159)</f>
        <v/>
      </c>
      <c r="H159" s="3" t="n">
        <v>64230.2871875</v>
      </c>
      <c r="I159" s="3" t="n">
        <v>160575.71796875</v>
      </c>
      <c r="J159" s="3" t="n">
        <v>139900</v>
      </c>
      <c r="K159" s="3" t="n">
        <v>64659.66386554623</v>
      </c>
      <c r="L159" s="5" t="n">
        <v>0.1652441719734877</v>
      </c>
      <c r="M159" s="3" t="n">
        <v>82294.11764705883</v>
      </c>
      <c r="N159" s="5" t="n">
        <v>0.3441204208363117</v>
      </c>
      <c r="O159" s="3" t="n">
        <v>133039.9</v>
      </c>
      <c r="P159" s="5" t="n">
        <v>0.5942944090457073</v>
      </c>
      <c r="Q159" s="3" t="n">
        <v>93100</v>
      </c>
      <c r="R159" s="5" t="n">
        <v>0.4202467105263158</v>
      </c>
      <c r="S159" s="3" t="n">
        <v>91</v>
      </c>
      <c r="T159" s="5" t="n">
        <v>0.8439125759109312</v>
      </c>
      <c r="U159" s="6" t="n"/>
    </row>
    <row r="160">
      <c r="A160" s="2" t="inlineStr">
        <is>
          <t>LA EMPERATRIZ</t>
        </is>
      </c>
      <c r="B160" s="2" t="inlineStr">
        <is>
          <t>I'M CHOCOLATE HIGH WAIST BOTTOM</t>
        </is>
      </c>
      <c r="C160" s="2" t="inlineStr">
        <is>
          <t>273223/CHOLT</t>
        </is>
      </c>
      <c r="D160" s="2" t="n">
        <v>8000</v>
      </c>
      <c r="E160" s="3" t="n">
        <v>23375.66</v>
      </c>
      <c r="F160" s="4" t="n">
        <v>10185.03125</v>
      </c>
      <c r="G160" s="3">
        <f>IF(OR(E160="",F160=""),"",E160+F160)</f>
        <v/>
      </c>
      <c r="H160" s="3" t="n">
        <v>39937.2225875</v>
      </c>
      <c r="I160" s="3" t="n">
        <v>99843.05646875</v>
      </c>
      <c r="J160" s="3" t="n">
        <v>109900</v>
      </c>
      <c r="K160" s="3" t="n">
        <v>50794.11764705883</v>
      </c>
      <c r="L160" s="5" t="n">
        <v>0.3392799638100752</v>
      </c>
      <c r="M160" s="3" t="n">
        <v>64647.05882352941</v>
      </c>
      <c r="N160" s="5" t="n">
        <v>0.4808628287079162</v>
      </c>
      <c r="O160" s="3" t="n">
        <v>98829.64</v>
      </c>
      <c r="P160" s="5" t="n">
        <v>0.6604187645528203</v>
      </c>
      <c r="Q160" s="3" t="n">
        <v>69160</v>
      </c>
      <c r="R160" s="5" t="n">
        <v>0.5147384145459802</v>
      </c>
      <c r="S160" s="3" t="n">
        <v>67.60000000000001</v>
      </c>
      <c r="T160" s="5" t="n">
        <v>0.8693526500700717</v>
      </c>
      <c r="U160" s="6" t="n"/>
    </row>
    <row r="161">
      <c r="A161" s="2" t="inlineStr">
        <is>
          <t>LA EMPERATRIZ</t>
        </is>
      </c>
      <c r="B161" s="2" t="inlineStr">
        <is>
          <t>I'M CHOCOLATE RUCHED STRAPLESS ONE PIECE</t>
        </is>
      </c>
      <c r="C161" s="2" t="inlineStr">
        <is>
          <t>273373/CHOLT</t>
        </is>
      </c>
      <c r="D161" s="2" t="n">
        <v>8000</v>
      </c>
      <c r="E161" s="3" t="n">
        <v>42622</v>
      </c>
      <c r="F161" s="4" t="n">
        <v>10185.03125</v>
      </c>
      <c r="G161" s="3">
        <f>IF(OR(E161="",F161=""),"",E161+F161)</f>
        <v/>
      </c>
      <c r="H161" s="3" t="n">
        <v>62840.3671875</v>
      </c>
      <c r="I161" s="3" t="n">
        <v>157100.91796875</v>
      </c>
      <c r="J161" s="3" t="n">
        <v>199900</v>
      </c>
      <c r="K161" s="3" t="n">
        <v>92390.75630252103</v>
      </c>
      <c r="L161" s="5" t="n">
        <v>0.428438153735959</v>
      </c>
      <c r="M161" s="3" t="n">
        <v>117588.2352941176</v>
      </c>
      <c r="N161" s="5" t="n">
        <v>0.5509156922211105</v>
      </c>
      <c r="O161" s="3" t="n">
        <v>197659.28</v>
      </c>
      <c r="P161" s="5" t="n">
        <v>0.732838087591941</v>
      </c>
      <c r="Q161" s="3" t="n">
        <v>138320</v>
      </c>
      <c r="R161" s="5" t="n">
        <v>0.6182256271688837</v>
      </c>
      <c r="S161" s="3" t="n">
        <v>135.2</v>
      </c>
      <c r="T161" s="5" t="n">
        <v>0.8972145919300841</v>
      </c>
      <c r="U161" s="6" t="n"/>
    </row>
    <row r="162">
      <c r="A162" s="2" t="inlineStr">
        <is>
          <t>LA EMPERATRIZ</t>
        </is>
      </c>
      <c r="B162" s="2" t="inlineStr">
        <is>
          <t>I'M CHOCOLATE UNDERWIRE BRALETTE TOP</t>
        </is>
      </c>
      <c r="C162" s="2" t="inlineStr">
        <is>
          <t>273149/CHOLT</t>
        </is>
      </c>
      <c r="D162" s="2" t="n">
        <v>8000</v>
      </c>
      <c r="E162" s="3" t="n">
        <v>26296</v>
      </c>
      <c r="F162" s="4" t="n">
        <v>10185.03125</v>
      </c>
      <c r="G162" s="3">
        <f>IF(OR(E162="",F162=""),"",E162+F162)</f>
        <v/>
      </c>
      <c r="H162" s="3" t="n">
        <v>43412.4271875</v>
      </c>
      <c r="I162" s="3" t="n">
        <v>108531.06796875</v>
      </c>
      <c r="J162" s="3" t="n">
        <v>129900</v>
      </c>
      <c r="K162" s="3" t="n">
        <v>60037.81512605043</v>
      </c>
      <c r="L162" s="5" t="n">
        <v>0.3923657752466934</v>
      </c>
      <c r="M162" s="3" t="n">
        <v>76411.76470588235</v>
      </c>
      <c r="N162" s="5" t="n">
        <v>0.5225731091224018</v>
      </c>
      <c r="O162" s="3" t="n">
        <v>121636.48</v>
      </c>
      <c r="P162" s="5" t="n">
        <v>0.7000814948771947</v>
      </c>
      <c r="Q162" s="3" t="n">
        <v>85120</v>
      </c>
      <c r="R162" s="5" t="n">
        <v>0.5714164561795113</v>
      </c>
      <c r="S162" s="3" t="n">
        <v>83.2</v>
      </c>
      <c r="T162" s="5" t="n">
        <v>0.8846121228175607</v>
      </c>
      <c r="U162" s="6" t="n"/>
    </row>
    <row r="163">
      <c r="A163" s="2" t="inlineStr">
        <is>
          <t>LA EMPERATRIZ</t>
        </is>
      </c>
      <c r="B163" s="2" t="inlineStr">
        <is>
          <t>I'M CHOCOLATE MACRAME KNIT DRESS</t>
        </is>
      </c>
      <c r="C163" s="2" t="inlineStr">
        <is>
          <t>27VE32/CHOLT</t>
        </is>
      </c>
      <c r="D163" s="2" t="n">
        <v>8000</v>
      </c>
      <c r="E163" s="3" t="n">
        <v>59360</v>
      </c>
      <c r="F163" s="4" t="n">
        <v>10185.03125</v>
      </c>
      <c r="G163" s="3">
        <f>IF(OR(E163="",F163=""),"",E163+F163)</f>
        <v/>
      </c>
      <c r="H163" s="3" t="n">
        <v>82758.5871875</v>
      </c>
      <c r="I163" s="3" t="n">
        <v>206896.46796875</v>
      </c>
      <c r="J163" s="3" t="n">
        <v>219900</v>
      </c>
      <c r="K163" s="3" t="n">
        <v>101634.4537815126</v>
      </c>
      <c r="L163" s="5" t="n">
        <v>0.315733703852991</v>
      </c>
      <c r="M163" s="3" t="n">
        <v>129352.9411764706</v>
      </c>
      <c r="N163" s="5" t="n">
        <v>0.462362195884493</v>
      </c>
      <c r="O163" s="3" t="n">
        <v>228068.4</v>
      </c>
      <c r="P163" s="5" t="n">
        <v>0.695069412290348</v>
      </c>
      <c r="Q163" s="3" t="n">
        <v>159600</v>
      </c>
      <c r="R163" s="5" t="n">
        <v>0.5642541901629072</v>
      </c>
      <c r="S163" s="3" t="n">
        <v>156</v>
      </c>
      <c r="T163" s="5" t="n">
        <v>0.882683820428475</v>
      </c>
      <c r="U163" s="6" t="n"/>
    </row>
    <row r="164">
      <c r="A164" s="2" t="inlineStr">
        <is>
          <t>LA EMPERATRIZ</t>
        </is>
      </c>
      <c r="B164" s="2" t="inlineStr">
        <is>
          <t>I'M CHOCOLATE MESH KNIT SHIRT</t>
        </is>
      </c>
      <c r="C164" s="2" t="inlineStr">
        <is>
          <t>27CA37/CHOLT</t>
        </is>
      </c>
      <c r="D164" s="2" t="n">
        <v>8000</v>
      </c>
      <c r="E164" s="3" t="n">
        <v>39513.2555555556</v>
      </c>
      <c r="F164" s="4" t="n">
        <v>10185.03125</v>
      </c>
      <c r="G164" s="3">
        <f>IF(OR(E164="",F164=""),"",E164+F164)</f>
        <v/>
      </c>
      <c r="H164" s="3" t="n">
        <v>59140.96129861117</v>
      </c>
      <c r="I164" s="3" t="n">
        <v>147852.4032465279</v>
      </c>
      <c r="J164" s="3" t="n">
        <v>149900</v>
      </c>
      <c r="K164" s="3" t="n">
        <v>69281.51260504202</v>
      </c>
      <c r="L164" s="5" t="n">
        <v>0.2826616374721188</v>
      </c>
      <c r="M164" s="3" t="n">
        <v>88176.4705882353</v>
      </c>
      <c r="N164" s="5" t="n">
        <v>0.4363770008709505</v>
      </c>
      <c r="O164" s="3" t="n">
        <v>152045.6</v>
      </c>
      <c r="P164" s="5" t="n">
        <v>0.6731356461117217</v>
      </c>
      <c r="Q164" s="3" t="n">
        <v>106400</v>
      </c>
      <c r="R164" s="5" t="n">
        <v>0.5329108382936504</v>
      </c>
      <c r="S164" s="3" t="n">
        <v>104</v>
      </c>
      <c r="T164" s="5" t="n">
        <v>0.8742452256944444</v>
      </c>
      <c r="U164" s="6" t="n"/>
    </row>
    <row r="165">
      <c r="A165" s="2" t="inlineStr">
        <is>
          <t>LA EMPERATRIZ</t>
        </is>
      </c>
      <c r="B165" s="2" t="inlineStr">
        <is>
          <t>I'M CHOCOLATE MESH KNIT PANTS</t>
        </is>
      </c>
      <c r="C165" s="2" t="inlineStr">
        <is>
          <t>27PA26/CHOLT</t>
        </is>
      </c>
      <c r="D165" s="2" t="n">
        <v>8000</v>
      </c>
      <c r="E165" s="3" t="n">
        <v>47192.70193548387</v>
      </c>
      <c r="F165" s="4" t="n">
        <v>10185.03125</v>
      </c>
      <c r="G165" s="3">
        <f>IF(OR(E165="",F165=""),"",E165+F165)</f>
        <v/>
      </c>
      <c r="H165" s="3" t="n">
        <v>68279.5024907258</v>
      </c>
      <c r="I165" s="3" t="n">
        <v>170698.7562268145</v>
      </c>
      <c r="J165" s="3" t="n">
        <v>159900</v>
      </c>
      <c r="K165" s="3" t="n">
        <v>73903.36134453783</v>
      </c>
      <c r="L165" s="5" t="n">
        <v>0.2236113196801888</v>
      </c>
      <c r="M165" s="3" t="n">
        <v>94058.82352941176</v>
      </c>
      <c r="N165" s="5" t="n">
        <v>0.3899803226058625</v>
      </c>
      <c r="O165" s="3" t="n">
        <v>174852.44</v>
      </c>
      <c r="P165" s="5" t="n">
        <v>0.671850543318218</v>
      </c>
      <c r="Q165" s="3" t="n">
        <v>122360</v>
      </c>
      <c r="R165" s="5" t="n">
        <v>0.5310744264017336</v>
      </c>
      <c r="S165" s="3" t="n">
        <v>119.6</v>
      </c>
      <c r="T165" s="5" t="n">
        <v>0.873750807108159</v>
      </c>
      <c r="U165" s="6" t="n"/>
    </row>
    <row r="166">
      <c r="A166" s="2" t="inlineStr">
        <is>
          <t>LA EMPERATRIZ</t>
        </is>
      </c>
      <c r="B166" s="2" t="inlineStr">
        <is>
          <t>RENACER TRIANGLE TOP</t>
        </is>
      </c>
      <c r="C166" s="2" t="inlineStr">
        <is>
          <t>273135/RENC</t>
        </is>
      </c>
      <c r="D166" s="2" t="n">
        <v>8000</v>
      </c>
      <c r="E166" s="3" t="n">
        <v>30076</v>
      </c>
      <c r="F166" s="4" t="n">
        <v>10185.03125</v>
      </c>
      <c r="G166" s="3">
        <f>IF(OR(E166="",F166=""),"",E166+F166)</f>
        <v/>
      </c>
      <c r="H166" s="3" t="n">
        <v>47910.62718749999</v>
      </c>
      <c r="I166" s="3" t="n">
        <v>119776.56796875</v>
      </c>
      <c r="J166" s="3" t="n">
        <v>109900</v>
      </c>
      <c r="K166" s="3" t="n">
        <v>50794.11764705883</v>
      </c>
      <c r="L166" s="5" t="n">
        <v>0.2073682324840765</v>
      </c>
      <c r="M166" s="3" t="n">
        <v>64647.05882352941</v>
      </c>
      <c r="N166" s="5" t="n">
        <v>0.3772178969517743</v>
      </c>
      <c r="O166" s="3" t="n">
        <v>98829.64</v>
      </c>
      <c r="P166" s="5" t="n">
        <v>0.5926218971353129</v>
      </c>
      <c r="Q166" s="3" t="n">
        <v>69160</v>
      </c>
      <c r="R166" s="5" t="n">
        <v>0.4178566910063621</v>
      </c>
      <c r="S166" s="3" t="n">
        <v>67.60000000000001</v>
      </c>
      <c r="T166" s="5" t="n">
        <v>0.8432691091170975</v>
      </c>
      <c r="U166" s="6" t="n"/>
    </row>
    <row r="167">
      <c r="A167" s="2" t="inlineStr">
        <is>
          <t>LA EMPERATRIZ</t>
        </is>
      </c>
      <c r="B167" s="2" t="inlineStr">
        <is>
          <t>RENACER STRAP TIE SIDE BOTTOM</t>
        </is>
      </c>
      <c r="C167" s="2" t="inlineStr">
        <is>
          <t>273236/RENC</t>
        </is>
      </c>
      <c r="D167" s="2" t="n">
        <v>8000</v>
      </c>
      <c r="E167" s="3" t="n">
        <v>31458</v>
      </c>
      <c r="F167" s="4" t="n">
        <v>10185.03125</v>
      </c>
      <c r="G167" s="3">
        <f>IF(OR(E167="",F167=""),"",E167+F167)</f>
        <v/>
      </c>
      <c r="H167" s="3" t="n">
        <v>49555.2071875</v>
      </c>
      <c r="I167" s="3" t="n">
        <v>123888.01796875</v>
      </c>
      <c r="J167" s="3" t="n">
        <v>119900</v>
      </c>
      <c r="K167" s="3" t="n">
        <v>55415.96638655462</v>
      </c>
      <c r="L167" s="5" t="n">
        <v>0.2485373085525817</v>
      </c>
      <c r="M167" s="3" t="n">
        <v>70529.41176470587</v>
      </c>
      <c r="N167" s="5" t="n">
        <v>0.409565028148457</v>
      </c>
      <c r="O167" s="3" t="n">
        <v>98829.64</v>
      </c>
      <c r="P167" s="5" t="n">
        <v>0.5786382379820467</v>
      </c>
      <c r="Q167" s="3" t="n">
        <v>69160</v>
      </c>
      <c r="R167" s="5" t="n">
        <v>0.3978740420763447</v>
      </c>
      <c r="S167" s="3" t="n">
        <v>67.60000000000001</v>
      </c>
      <c r="T167" s="5" t="n">
        <v>0.8378891651744005</v>
      </c>
      <c r="U167" s="6" t="n"/>
    </row>
    <row r="168">
      <c r="A168" s="2" t="inlineStr">
        <is>
          <t>LA EMPERATRIZ</t>
        </is>
      </c>
      <c r="B168" s="2" t="inlineStr">
        <is>
          <t>RENACER UNDERWIRE BRALETTE TOP</t>
        </is>
      </c>
      <c r="C168" s="2" t="inlineStr">
        <is>
          <t>273149/RENC</t>
        </is>
      </c>
      <c r="D168" s="2" t="n">
        <v>8000</v>
      </c>
      <c r="E168" s="3" t="n">
        <v>28453.01442857143</v>
      </c>
      <c r="F168" s="4" t="n">
        <v>10185.03125</v>
      </c>
      <c r="G168" s="3">
        <f>IF(OR(E168="",F168=""),"",E168+F168)</f>
        <v/>
      </c>
      <c r="H168" s="3" t="n">
        <v>45979.2743575</v>
      </c>
      <c r="I168" s="3" t="n">
        <v>114948.18589375</v>
      </c>
      <c r="J168" s="3" t="n">
        <v>139900</v>
      </c>
      <c r="K168" s="3" t="n">
        <v>64659.66386554623</v>
      </c>
      <c r="L168" s="5" t="n">
        <v>0.4024397380271624</v>
      </c>
      <c r="M168" s="3" t="n">
        <v>82294.11764705883</v>
      </c>
      <c r="N168" s="5" t="n">
        <v>0.5304883655927704</v>
      </c>
      <c r="O168" s="3" t="n">
        <v>121636.48</v>
      </c>
      <c r="P168" s="5" t="n">
        <v>0.6823482093647283</v>
      </c>
      <c r="Q168" s="3" t="n">
        <v>85120</v>
      </c>
      <c r="R168" s="5" t="n">
        <v>0.5460755911821966</v>
      </c>
      <c r="S168" s="3" t="n">
        <v>83.2</v>
      </c>
      <c r="T168" s="5" t="n">
        <v>0.8777895822413605</v>
      </c>
      <c r="U168" s="6" t="n"/>
    </row>
    <row r="169">
      <c r="A169" s="2" t="inlineStr">
        <is>
          <t>LA EMPERATRIZ</t>
        </is>
      </c>
      <c r="B169" s="2" t="inlineStr">
        <is>
          <t>RENACER HIGH WAIST BOTTOM</t>
        </is>
      </c>
      <c r="C169" s="2" t="inlineStr">
        <is>
          <t>273223/RENC</t>
        </is>
      </c>
      <c r="D169" s="2" t="n">
        <v>8000</v>
      </c>
      <c r="E169" s="3" t="n">
        <v>21976.61</v>
      </c>
      <c r="F169" s="4" t="n">
        <v>10185.03125</v>
      </c>
      <c r="G169" s="3">
        <f>IF(OR(E169="",F169=""),"",E169+F169)</f>
        <v/>
      </c>
      <c r="H169" s="3" t="n">
        <v>38272.3530875</v>
      </c>
      <c r="I169" s="3" t="n">
        <v>95680.88271874998</v>
      </c>
      <c r="J169" s="3" t="n">
        <v>109900</v>
      </c>
      <c r="K169" s="3" t="n">
        <v>50794.11764705883</v>
      </c>
      <c r="L169" s="5" t="n">
        <v>0.3668235075275044</v>
      </c>
      <c r="M169" s="3" t="n">
        <v>64647.05882352941</v>
      </c>
      <c r="N169" s="5" t="n">
        <v>0.5025041844858962</v>
      </c>
      <c r="O169" s="3" t="n">
        <v>98829.64</v>
      </c>
      <c r="P169" s="5" t="n">
        <v>0.6745749428005606</v>
      </c>
      <c r="Q169" s="3" t="n">
        <v>69160</v>
      </c>
      <c r="R169" s="5" t="n">
        <v>0.5349675932620012</v>
      </c>
      <c r="S169" s="3" t="n">
        <v>67.60000000000001</v>
      </c>
      <c r="T169" s="5" t="n">
        <v>0.8747989674166926</v>
      </c>
      <c r="U169" s="6" t="n"/>
    </row>
    <row r="170">
      <c r="A170" s="2" t="inlineStr">
        <is>
          <t>LA EMPERATRIZ</t>
        </is>
      </c>
      <c r="B170" s="2" t="inlineStr">
        <is>
          <t>RENACER STRAIGHT ONE PIECE</t>
        </is>
      </c>
      <c r="C170" s="2" t="inlineStr">
        <is>
          <t>273370/RENC</t>
        </is>
      </c>
      <c r="D170" s="2" t="n">
        <v>8000</v>
      </c>
      <c r="E170" s="3" t="n">
        <v>41826.0998</v>
      </c>
      <c r="F170" s="4" t="n">
        <v>10185.03125</v>
      </c>
      <c r="G170" s="3">
        <f>IF(OR(E170="",F170=""),"",E170+F170)</f>
        <v/>
      </c>
      <c r="H170" s="3" t="n">
        <v>61893.2459495</v>
      </c>
      <c r="I170" s="3" t="n">
        <v>154733.11487375</v>
      </c>
      <c r="J170" s="3" t="n">
        <v>189900</v>
      </c>
      <c r="K170" s="3" t="n">
        <v>87768.90756302522</v>
      </c>
      <c r="L170" s="5" t="n">
        <v>0.4074082440566806</v>
      </c>
      <c r="M170" s="3" t="n">
        <v>111705.8823529412</v>
      </c>
      <c r="N170" s="5" t="n">
        <v>0.5343921917588204</v>
      </c>
      <c r="O170" s="3" t="n">
        <v>190057</v>
      </c>
      <c r="P170" s="5" t="n">
        <v>0.7263393032090373</v>
      </c>
      <c r="Q170" s="3" t="n">
        <v>133000</v>
      </c>
      <c r="R170" s="5" t="n">
        <v>0.6089388642857143</v>
      </c>
      <c r="S170" s="3" t="n">
        <v>130</v>
      </c>
      <c r="T170" s="5" t="n">
        <v>0.8947143096153846</v>
      </c>
      <c r="U170" s="6" t="n"/>
    </row>
    <row r="171">
      <c r="A171" s="2" t="inlineStr">
        <is>
          <t>LA EMPERATRIZ</t>
        </is>
      </c>
      <c r="B171" s="2" t="inlineStr">
        <is>
          <t>RENACER ONE SHOULDER ONE PIECE</t>
        </is>
      </c>
      <c r="C171" s="2" t="inlineStr">
        <is>
          <t>273326/RENC</t>
        </is>
      </c>
      <c r="D171" s="2" t="n">
        <v>8000</v>
      </c>
      <c r="E171" s="3" t="n">
        <v>50818.26518928901</v>
      </c>
      <c r="F171" s="4" t="n">
        <v>10185.03125</v>
      </c>
      <c r="G171" s="3">
        <f>IF(OR(E171="",F171=""),"",E171+F171)</f>
        <v/>
      </c>
      <c r="H171" s="3" t="n">
        <v>72593.92276275392</v>
      </c>
      <c r="I171" s="3" t="n">
        <v>181484.8069068848</v>
      </c>
      <c r="J171" s="3" t="n">
        <v>199900</v>
      </c>
      <c r="K171" s="3" t="n">
        <v>92390.75630252103</v>
      </c>
      <c r="L171" s="5" t="n">
        <v>0.3397251101664113</v>
      </c>
      <c r="M171" s="3" t="n">
        <v>117588.2352941176</v>
      </c>
      <c r="N171" s="5" t="n">
        <v>0.481212586559323</v>
      </c>
      <c r="O171" s="3" t="n">
        <v>197659.28</v>
      </c>
      <c r="P171" s="5" t="n">
        <v>0.6913714527378172</v>
      </c>
      <c r="Q171" s="3" t="n">
        <v>138320</v>
      </c>
      <c r="R171" s="5" t="n">
        <v>0.5589698059623408</v>
      </c>
      <c r="S171" s="3" t="n">
        <v>135.2</v>
      </c>
      <c r="T171" s="5" t="n">
        <v>0.8812611016052456</v>
      </c>
      <c r="U171" s="6" t="n"/>
    </row>
    <row r="172">
      <c r="A172" s="2" t="inlineStr">
        <is>
          <t>LA EMPERATRIZ</t>
        </is>
      </c>
      <c r="B172" s="2" t="inlineStr">
        <is>
          <t>RENACER PAREO</t>
        </is>
      </c>
      <c r="C172" s="2" t="inlineStr">
        <is>
          <t>27RE22/RENC</t>
        </is>
      </c>
      <c r="D172" s="2" t="n">
        <v>8000</v>
      </c>
      <c r="E172" s="3" t="n">
        <v>22789.02857142857</v>
      </c>
      <c r="F172" s="4" t="n">
        <v>10185.03125</v>
      </c>
      <c r="G172" s="3">
        <f>IF(OR(E172="",F172=""),"",E172+F172)</f>
        <v/>
      </c>
      <c r="H172" s="3" t="n">
        <v>39239.1311875</v>
      </c>
      <c r="I172" s="3" t="n">
        <v>98097.82796874999</v>
      </c>
      <c r="J172" s="3" t="n">
        <v>139900</v>
      </c>
      <c r="K172" s="3" t="n">
        <v>64659.66386554623</v>
      </c>
      <c r="L172" s="5" t="n">
        <v>0.4900366341217754</v>
      </c>
      <c r="M172" s="3" t="n">
        <v>82294.11764705883</v>
      </c>
      <c r="N172" s="5" t="n">
        <v>0.5993144982385378</v>
      </c>
      <c r="O172" s="3" t="n">
        <v>110233.06</v>
      </c>
      <c r="P172" s="5" t="n">
        <v>0.7008695955512023</v>
      </c>
      <c r="Q172" s="3" t="n">
        <v>77139.99999999999</v>
      </c>
      <c r="R172" s="5" t="n">
        <v>0.5725426520426682</v>
      </c>
      <c r="S172" s="3" t="n">
        <v>75.40000000000001</v>
      </c>
      <c r="T172" s="5" t="n">
        <v>0.8849153293961031</v>
      </c>
      <c r="U172" s="6" t="n"/>
    </row>
    <row r="173">
      <c r="A173" s="2" t="inlineStr">
        <is>
          <t>LA EMPERATRIZ</t>
        </is>
      </c>
      <c r="B173" s="2" t="inlineStr">
        <is>
          <t>RENACER TOWEL</t>
        </is>
      </c>
      <c r="C173" s="2" t="inlineStr">
        <is>
          <t>27TO27/RENC</t>
        </is>
      </c>
      <c r="D173" s="2" t="n">
        <v>8000</v>
      </c>
      <c r="E173" s="3" t="n">
        <v>30842</v>
      </c>
      <c r="F173" s="4" t="n">
        <v>10185.03125</v>
      </c>
      <c r="G173" s="3">
        <f>IF(OR(E173="",F173=""),"",E173+F173)</f>
        <v/>
      </c>
      <c r="H173" s="3" t="n">
        <v>48822.1671875</v>
      </c>
      <c r="I173" s="3" t="n">
        <v>122055.41796875</v>
      </c>
      <c r="J173" s="3" t="n">
        <v>89900</v>
      </c>
      <c r="K173" s="3" t="n">
        <v>41550.42016806723</v>
      </c>
      <c r="L173" s="5" t="n">
        <v>0.01259647714632437</v>
      </c>
      <c r="M173" s="3" t="n">
        <v>52882.35294117647</v>
      </c>
      <c r="N173" s="5" t="n">
        <v>0.2241829463292547</v>
      </c>
      <c r="O173" s="3" t="n">
        <v>106431.92</v>
      </c>
      <c r="P173" s="5" t="n">
        <v>0.6145232440606163</v>
      </c>
      <c r="Q173" s="3" t="n">
        <v>74479.99999999999</v>
      </c>
      <c r="R173" s="5" t="n">
        <v>0.4491537157626208</v>
      </c>
      <c r="S173" s="3" t="n">
        <v>72.8</v>
      </c>
      <c r="T173" s="5" t="n">
        <v>0.8516952311668594</v>
      </c>
      <c r="U173" s="6" t="n"/>
    </row>
    <row r="174">
      <c r="A174" s="2" t="inlineStr">
        <is>
          <t>LA EMPERATRIZ</t>
        </is>
      </c>
      <c r="B174" s="2" t="inlineStr">
        <is>
          <t>RENACER RUCHED MESH MAXI SKIRT</t>
        </is>
      </c>
      <c r="C174" s="2" t="inlineStr">
        <is>
          <t>27FA28/RENC</t>
        </is>
      </c>
      <c r="D174" s="2" t="n">
        <v>8000</v>
      </c>
      <c r="E174" s="3" t="n">
        <v>30325</v>
      </c>
      <c r="F174" s="4" t="n">
        <v>10185.03125</v>
      </c>
      <c r="G174" s="3">
        <f>IF(OR(E174="",F174=""),"",E174+F174)</f>
        <v/>
      </c>
      <c r="H174" s="3" t="n">
        <v>48206.9371875</v>
      </c>
      <c r="I174" s="3" t="n">
        <v>120517.34296875</v>
      </c>
      <c r="J174" s="3" t="n">
        <v>129900</v>
      </c>
      <c r="K174" s="3" t="n">
        <v>60037.81512605043</v>
      </c>
      <c r="L174" s="5" t="n">
        <v>0.3252580700188958</v>
      </c>
      <c r="M174" s="3" t="n">
        <v>76411.76470588235</v>
      </c>
      <c r="N174" s="5" t="n">
        <v>0.469845626443418</v>
      </c>
      <c r="O174" s="3" t="n">
        <v>144443.32</v>
      </c>
      <c r="P174" s="5" t="n">
        <v>0.7195437542559946</v>
      </c>
      <c r="Q174" s="3" t="n">
        <v>101080</v>
      </c>
      <c r="R174" s="5" t="n">
        <v>0.5992280248318164</v>
      </c>
      <c r="S174" s="3" t="n">
        <v>98.8</v>
      </c>
      <c r="T174" s="5" t="n">
        <v>0.8920998528393351</v>
      </c>
      <c r="U174" s="6" t="n"/>
    </row>
    <row r="175">
      <c r="A175" s="2" t="inlineStr">
        <is>
          <t>LA EMPERATRIZ</t>
        </is>
      </c>
      <c r="B175" s="2" t="inlineStr">
        <is>
          <t>RENACER CARGO PANTS</t>
        </is>
      </c>
      <c r="C175" s="2" t="inlineStr">
        <is>
          <t>27PA25/RENC</t>
        </is>
      </c>
      <c r="D175" s="2" t="n">
        <v>8000</v>
      </c>
      <c r="E175" s="3" t="n">
        <v>64756.51568253968</v>
      </c>
      <c r="F175" s="4" t="n">
        <v>10185.03125</v>
      </c>
      <c r="G175" s="3">
        <f>IF(OR(E175="",F175=""),"",E175+F175)</f>
        <v/>
      </c>
      <c r="H175" s="3" t="n">
        <v>89180.44084972222</v>
      </c>
      <c r="I175" s="3" t="n">
        <v>222951.1021243055</v>
      </c>
      <c r="J175" s="3" t="n">
        <v>189900</v>
      </c>
      <c r="K175" s="3" t="n">
        <v>87768.90756302522</v>
      </c>
      <c r="L175" s="5" t="n">
        <v>0.1461492570278882</v>
      </c>
      <c r="M175" s="3" t="n">
        <v>111705.8823529412</v>
      </c>
      <c r="N175" s="5" t="n">
        <v>0.3291172733790549</v>
      </c>
      <c r="O175" s="3" t="n">
        <v>212863.84</v>
      </c>
      <c r="P175" s="5" t="n">
        <v>0.6479366954362015</v>
      </c>
      <c r="Q175" s="3" t="n">
        <v>148960</v>
      </c>
      <c r="R175" s="5" t="n">
        <v>0.4969015377783318</v>
      </c>
      <c r="S175" s="3" t="n">
        <v>145.6</v>
      </c>
      <c r="T175" s="5" t="n">
        <v>0.8645504140172432</v>
      </c>
      <c r="U175" s="6" t="n"/>
    </row>
    <row r="176">
      <c r="A176" s="2" t="inlineStr">
        <is>
          <t>LA EMPERATRIZ</t>
        </is>
      </c>
      <c r="B176" s="2" t="inlineStr">
        <is>
          <t>RENACER T-SHIRT</t>
        </is>
      </c>
      <c r="C176" s="2" t="inlineStr">
        <is>
          <t>27TSH20/RENC</t>
        </is>
      </c>
      <c r="D176" s="2" t="n">
        <v>8000</v>
      </c>
      <c r="E176" s="3" t="n">
        <v>35411.6</v>
      </c>
      <c r="F176" s="4" t="n">
        <v>10185.03125</v>
      </c>
      <c r="G176" s="3">
        <f>IF(OR(E176="",F176=""),"",E176+F176)</f>
        <v/>
      </c>
      <c r="H176" s="3" t="n">
        <v>54259.9911875</v>
      </c>
      <c r="I176" s="3" t="n">
        <v>135649.97796875</v>
      </c>
      <c r="J176" s="3" t="n">
        <v>129900</v>
      </c>
      <c r="K176" s="3" t="n">
        <v>60037.81512605043</v>
      </c>
      <c r="L176" s="5" t="n">
        <v>0.2405348003709148</v>
      </c>
      <c r="M176" s="3" t="n">
        <v>76411.76470588235</v>
      </c>
      <c r="N176" s="5" t="n">
        <v>0.4032773431485758</v>
      </c>
      <c r="O176" s="3" t="n">
        <v>129238.76</v>
      </c>
      <c r="P176" s="5" t="n">
        <v>0.6471907402237532</v>
      </c>
      <c r="Q176" s="3" t="n">
        <v>90439.99999999999</v>
      </c>
      <c r="R176" s="5" t="n">
        <v>0.4958355677797434</v>
      </c>
      <c r="S176" s="3" t="n">
        <v>88.40000000000001</v>
      </c>
      <c r="T176" s="5" t="n">
        <v>0.8642634220945464</v>
      </c>
      <c r="U176" s="6" t="n"/>
    </row>
    <row r="177">
      <c r="A177" s="2" t="inlineStr">
        <is>
          <t>LA EMPERATRIZ</t>
        </is>
      </c>
      <c r="B177" s="2" t="inlineStr">
        <is>
          <t>RENACER MESH LONG DRESS</t>
        </is>
      </c>
      <c r="C177" s="2" t="inlineStr">
        <is>
          <t>27VE36/RENC</t>
        </is>
      </c>
      <c r="D177" s="2" t="n">
        <v>8000</v>
      </c>
      <c r="E177" s="3" t="n">
        <v>49635.625</v>
      </c>
      <c r="F177" s="4" t="n">
        <v>10185.03125</v>
      </c>
      <c r="G177" s="3">
        <f>IF(OR(E177="",F177=""),"",E177+F177)</f>
        <v/>
      </c>
      <c r="H177" s="3" t="n">
        <v>71186.5809375</v>
      </c>
      <c r="I177" s="3" t="n">
        <v>177966.45234375</v>
      </c>
      <c r="J177" s="3" t="n">
        <v>169900</v>
      </c>
      <c r="K177" s="3" t="n">
        <v>78525.21008403362</v>
      </c>
      <c r="L177" s="5" t="n">
        <v>0.2381980744020548</v>
      </c>
      <c r="M177" s="3" t="n">
        <v>99941.17647058824</v>
      </c>
      <c r="N177" s="5" t="n">
        <v>0.401441344173043</v>
      </c>
      <c r="O177" s="3" t="n">
        <v>182454.72</v>
      </c>
      <c r="P177" s="5" t="n">
        <v>0.6721342355517028</v>
      </c>
      <c r="Q177" s="3" t="n">
        <v>127680</v>
      </c>
      <c r="R177" s="5" t="n">
        <v>0.5314798226033834</v>
      </c>
      <c r="S177" s="3" t="n">
        <v>124.8</v>
      </c>
      <c r="T177" s="5" t="n">
        <v>0.8738599522393725</v>
      </c>
      <c r="U177" s="6" t="n"/>
    </row>
    <row r="178">
      <c r="A178" s="2" t="inlineStr">
        <is>
          <t>LA EMPERATRIZ</t>
        </is>
      </c>
      <c r="B178" s="2" t="inlineStr">
        <is>
          <t>RENACER MESH DRESS</t>
        </is>
      </c>
      <c r="C178" s="2" t="inlineStr">
        <is>
          <t>27VE32/RENC</t>
        </is>
      </c>
      <c r="D178" s="2" t="n">
        <v>8000</v>
      </c>
      <c r="E178" s="3" t="n">
        <v>51220.07</v>
      </c>
      <c r="F178" s="4" t="n">
        <v>10185.03125</v>
      </c>
      <c r="G178" s="3">
        <f>IF(OR(E178="",F178=""),"",E178+F178)</f>
        <v/>
      </c>
      <c r="H178" s="3" t="n">
        <v>73072.07048749999</v>
      </c>
      <c r="I178" s="3" t="n">
        <v>182680.17621875</v>
      </c>
      <c r="J178" s="3" t="n">
        <v>169900</v>
      </c>
      <c r="K178" s="3" t="n">
        <v>78525.21008403362</v>
      </c>
      <c r="L178" s="5" t="n">
        <v>0.2180205416287657</v>
      </c>
      <c r="M178" s="3" t="n">
        <v>99941.17647058824</v>
      </c>
      <c r="N178" s="5" t="n">
        <v>0.3855875684226016</v>
      </c>
      <c r="O178" s="3" t="n">
        <v>182454.72</v>
      </c>
      <c r="P178" s="5" t="n">
        <v>0.6634501905459063</v>
      </c>
      <c r="Q178" s="3" t="n">
        <v>127680</v>
      </c>
      <c r="R178" s="5" t="n">
        <v>0.5190703222901003</v>
      </c>
      <c r="S178" s="3" t="n">
        <v>124.8</v>
      </c>
      <c r="T178" s="5" t="n">
        <v>0.8705189329242577</v>
      </c>
      <c r="U178" s="6" t="n"/>
    </row>
    <row r="179">
      <c r="A179" s="2" t="inlineStr">
        <is>
          <t>LA EMPERATRIZ</t>
        </is>
      </c>
      <c r="B179" s="2" t="inlineStr">
        <is>
          <t>RENACER MESH SHIRT</t>
        </is>
      </c>
      <c r="C179" s="2" t="inlineStr">
        <is>
          <t>27CA36/RENC</t>
        </is>
      </c>
      <c r="D179" s="2" t="n">
        <v>8000</v>
      </c>
      <c r="E179" s="3" t="n">
        <v>30229.34408602151</v>
      </c>
      <c r="F179" s="4" t="n">
        <v>10185.03125</v>
      </c>
      <c r="G179" s="3">
        <f>IF(OR(E179="",F179=""),"",E179+F179)</f>
        <v/>
      </c>
      <c r="H179" s="3" t="n">
        <v>48093.10664986559</v>
      </c>
      <c r="I179" s="3" t="n">
        <v>120232.766624664</v>
      </c>
      <c r="J179" s="3" t="n">
        <v>129900</v>
      </c>
      <c r="K179" s="3" t="n">
        <v>60037.81512605043</v>
      </c>
      <c r="L179" s="5" t="n">
        <v>0.3268513310957298</v>
      </c>
      <c r="M179" s="3" t="n">
        <v>76411.76470588235</v>
      </c>
      <c r="N179" s="5" t="n">
        <v>0.4710974744323591</v>
      </c>
      <c r="O179" s="3" t="n">
        <v>144443.32</v>
      </c>
      <c r="P179" s="5" t="n">
        <v>0.7202059926618862</v>
      </c>
      <c r="Q179" s="3" t="n">
        <v>101080</v>
      </c>
      <c r="R179" s="5" t="n">
        <v>0.6001743635138355</v>
      </c>
      <c r="S179" s="3" t="n">
        <v>98.8</v>
      </c>
      <c r="T179" s="5" t="n">
        <v>0.8923546363306479</v>
      </c>
      <c r="U179" s="6" t="n"/>
    </row>
    <row r="180">
      <c r="A180" s="2" t="inlineStr">
        <is>
          <t>LA EMPERATRIZ</t>
        </is>
      </c>
      <c r="B180" s="2" t="inlineStr">
        <is>
          <t>RENACER MESH LONG SHIRT</t>
        </is>
      </c>
      <c r="C180" s="2" t="inlineStr">
        <is>
          <t>27CA32/RENC</t>
        </is>
      </c>
      <c r="D180" s="2" t="n">
        <v>8000</v>
      </c>
      <c r="E180" s="3" t="n">
        <v>26982</v>
      </c>
      <c r="F180" s="4" t="n">
        <v>10185.03125</v>
      </c>
      <c r="G180" s="3">
        <f>IF(OR(E180="",F180=""),"",E180+F180)</f>
        <v/>
      </c>
      <c r="H180" s="3" t="n">
        <v>44228.7671875</v>
      </c>
      <c r="I180" s="3" t="n">
        <v>110571.91796875</v>
      </c>
      <c r="J180" s="3" t="n">
        <v>119900</v>
      </c>
      <c r="K180" s="3" t="n">
        <v>55415.96638655462</v>
      </c>
      <c r="L180" s="5" t="n">
        <v>0.3293082540374555</v>
      </c>
      <c r="M180" s="3" t="n">
        <v>70529.41176470587</v>
      </c>
      <c r="N180" s="5" t="n">
        <v>0.4730279138865721</v>
      </c>
      <c r="O180" s="3" t="n">
        <v>114034.2</v>
      </c>
      <c r="P180" s="5" t="n">
        <v>0.6740711887310999</v>
      </c>
      <c r="Q180" s="3" t="n">
        <v>79800</v>
      </c>
      <c r="R180" s="5" t="n">
        <v>0.5342477286967419</v>
      </c>
      <c r="S180" s="3" t="n">
        <v>78</v>
      </c>
      <c r="T180" s="5" t="n">
        <v>0.8746051577260459</v>
      </c>
      <c r="U180" s="6" t="n"/>
    </row>
    <row r="181">
      <c r="A181" s="2" t="inlineStr">
        <is>
          <t>LA EMPERATRIZ</t>
        </is>
      </c>
      <c r="B181" s="2" t="inlineStr">
        <is>
          <t>RENACER EMBROIDERED SHIRT</t>
        </is>
      </c>
      <c r="C181" s="2" t="inlineStr">
        <is>
          <t>27CA38/RENC</t>
        </is>
      </c>
      <c r="D181" s="2" t="n">
        <v>8000</v>
      </c>
      <c r="E181" s="3" t="n">
        <v>58237</v>
      </c>
      <c r="F181" s="4" t="n">
        <v>10185.03125</v>
      </c>
      <c r="G181" s="3">
        <f>IF(OR(E181="",F181=""),"",E181+F181)</f>
        <v/>
      </c>
      <c r="H181" s="3" t="n">
        <v>81422.21718749999</v>
      </c>
      <c r="I181" s="3" t="n">
        <v>203555.54296875</v>
      </c>
      <c r="J181" s="3" t="n">
        <v>179900</v>
      </c>
      <c r="K181" s="3" t="n">
        <v>83147.05882352943</v>
      </c>
      <c r="L181" s="5" t="n">
        <v>0.1770961929607359</v>
      </c>
      <c r="M181" s="3" t="n">
        <v>105823.5294117647</v>
      </c>
      <c r="N181" s="5" t="n">
        <v>0.353432723040578</v>
      </c>
      <c r="O181" s="3" t="n">
        <v>209062.7</v>
      </c>
      <c r="P181" s="5" t="n">
        <v>0.6727200440346365</v>
      </c>
      <c r="Q181" s="3" t="n">
        <v>146300</v>
      </c>
      <c r="R181" s="5" t="n">
        <v>0.5323169429254956</v>
      </c>
      <c r="S181" s="3" t="n">
        <v>143</v>
      </c>
      <c r="T181" s="5" t="n">
        <v>0.8740853307876334</v>
      </c>
      <c r="U181" s="6" t="n"/>
    </row>
    <row r="182">
      <c r="A182" s="2" t="inlineStr">
        <is>
          <t>LA EMPERATRIZ</t>
        </is>
      </c>
      <c r="B182" s="2" t="inlineStr">
        <is>
          <t>RENACER SLEEP SLEEVELESS SHIRT</t>
        </is>
      </c>
      <c r="C182" s="2" t="inlineStr">
        <is>
          <t>274124/RENC</t>
        </is>
      </c>
      <c r="D182" s="2" t="n">
        <v>8000</v>
      </c>
      <c r="E182" s="3" t="n">
        <v>18336.66</v>
      </c>
      <c r="F182" s="4" t="n">
        <v>10185.03125</v>
      </c>
      <c r="G182" s="3">
        <f>IF(OR(E182="",F182=""),"",E182+F182)</f>
        <v/>
      </c>
      <c r="H182" s="3" t="n">
        <v>33940.8125875</v>
      </c>
      <c r="I182" s="3" t="n">
        <v>84852.03146874999</v>
      </c>
      <c r="J182" s="3" t="n">
        <v>79950</v>
      </c>
      <c r="K182" s="3" t="n">
        <v>36951.68067226891</v>
      </c>
      <c r="L182" s="5" t="n">
        <v>0.2281354804138952</v>
      </c>
      <c r="M182" s="3" t="n">
        <v>47029.41176470588</v>
      </c>
      <c r="N182" s="5" t="n">
        <v>0.3935350203252032</v>
      </c>
      <c r="O182" s="3" t="n">
        <v>49414.82</v>
      </c>
      <c r="P182" s="5" t="n">
        <v>0.4228109856516729</v>
      </c>
      <c r="Q182" s="3" t="n">
        <v>34580</v>
      </c>
      <c r="R182" s="5" t="n">
        <v>0.1751968984962406</v>
      </c>
      <c r="S182" s="3" t="n">
        <v>33.8</v>
      </c>
      <c r="T182" s="5" t="n">
        <v>0.7779376265182186</v>
      </c>
      <c r="U182" s="6" t="n"/>
    </row>
    <row r="183">
      <c r="A183" s="2" t="inlineStr">
        <is>
          <t>LA EMPERATRIZ</t>
        </is>
      </c>
      <c r="B183" s="2" t="inlineStr">
        <is>
          <t>RENACER SLEEP SHORT</t>
        </is>
      </c>
      <c r="C183" s="2" t="inlineStr">
        <is>
          <t>274222/RENC</t>
        </is>
      </c>
      <c r="D183" s="2" t="n">
        <v>8000</v>
      </c>
      <c r="E183" s="3" t="n">
        <v>18737.81</v>
      </c>
      <c r="F183" s="4" t="n">
        <v>10185.03125</v>
      </c>
      <c r="G183" s="3">
        <f>IF(OR(E183="",F183=""),"",E183+F183)</f>
        <v/>
      </c>
      <c r="H183" s="3" t="n">
        <v>34418.1810875</v>
      </c>
      <c r="I183" s="3" t="n">
        <v>86045.45271874999</v>
      </c>
      <c r="J183" s="3" t="n">
        <v>99950</v>
      </c>
      <c r="K183" s="3" t="n">
        <v>46195.37815126051</v>
      </c>
      <c r="L183" s="5" t="n">
        <v>0.373901840238301</v>
      </c>
      <c r="M183" s="3" t="n">
        <v>58794.11764705882</v>
      </c>
      <c r="N183" s="5" t="n">
        <v>0.5080657316158078</v>
      </c>
      <c r="O183" s="3" t="n">
        <v>49414.82</v>
      </c>
      <c r="P183" s="5" t="n">
        <v>0.4146929757105257</v>
      </c>
      <c r="Q183" s="3" t="n">
        <v>34580</v>
      </c>
      <c r="R183" s="5" t="n">
        <v>0.1635962622903412</v>
      </c>
      <c r="S183" s="3" t="n">
        <v>33.8</v>
      </c>
      <c r="T183" s="5" t="n">
        <v>0.7748143783089381</v>
      </c>
      <c r="U183" s="6" t="n"/>
    </row>
    <row r="184">
      <c r="A184" s="2" t="inlineStr">
        <is>
          <t>LA EMPERATRIZ</t>
        </is>
      </c>
      <c r="B184" s="2" t="inlineStr">
        <is>
          <t>RENACER SLEEP LONG SHIRT</t>
        </is>
      </c>
      <c r="C184" s="2" t="inlineStr">
        <is>
          <t>274121/RENC</t>
        </is>
      </c>
      <c r="D184" s="2" t="n">
        <v>8000</v>
      </c>
      <c r="E184" s="3" t="n">
        <v>32611.31</v>
      </c>
      <c r="F184" s="4" t="n">
        <v>10185.03125</v>
      </c>
      <c r="G184" s="3">
        <f>IF(OR(E184="",F184=""),"",E184+F184)</f>
        <v/>
      </c>
      <c r="H184" s="3" t="n">
        <v>50927.6460875</v>
      </c>
      <c r="I184" s="3" t="n">
        <v>127319.11521875</v>
      </c>
      <c r="J184" s="3" t="n">
        <v>99950</v>
      </c>
      <c r="K184" s="3" t="n">
        <v>46195.37815126051</v>
      </c>
      <c r="L184" s="5" t="n">
        <v>0.07357958820319273</v>
      </c>
      <c r="M184" s="3" t="n">
        <v>58794.11764705882</v>
      </c>
      <c r="N184" s="5" t="n">
        <v>0.2720982478739369</v>
      </c>
      <c r="O184" s="3" t="n">
        <v>64619.37999999999</v>
      </c>
      <c r="P184" s="5" t="n">
        <v>0.3377166223198055</v>
      </c>
      <c r="Q184" s="3" t="n">
        <v>45219.99999999999</v>
      </c>
      <c r="R184" s="5" t="n">
        <v>0.05359705329500211</v>
      </c>
      <c r="S184" s="3" t="n">
        <v>44.2</v>
      </c>
      <c r="T184" s="5" t="n">
        <v>0.7451992066563468</v>
      </c>
      <c r="U184" s="6" t="n"/>
    </row>
    <row r="185">
      <c r="A185" s="2" t="inlineStr">
        <is>
          <t>LA EMPERATRIZ</t>
        </is>
      </c>
      <c r="B185" s="2" t="inlineStr">
        <is>
          <t>RENACER SLEEP PANTS</t>
        </is>
      </c>
      <c r="C185" s="2" t="inlineStr">
        <is>
          <t>274323/RENC</t>
        </is>
      </c>
      <c r="D185" s="2" t="n">
        <v>8000</v>
      </c>
      <c r="E185" s="3" t="n">
        <v>28786.53</v>
      </c>
      <c r="F185" s="4" t="n">
        <v>10185.03125</v>
      </c>
      <c r="G185" s="3">
        <f>IF(OR(E185="",F185=""),"",E185+F185)</f>
        <v/>
      </c>
      <c r="H185" s="3" t="n">
        <v>46376.1578875</v>
      </c>
      <c r="I185" s="3" t="n">
        <v>115940.39471875</v>
      </c>
      <c r="J185" s="3" t="n">
        <v>99950</v>
      </c>
      <c r="K185" s="3" t="n">
        <v>46195.37815126051</v>
      </c>
      <c r="L185" s="5" t="n">
        <v>0.1563753169766703</v>
      </c>
      <c r="M185" s="3" t="n">
        <v>58794.11764705882</v>
      </c>
      <c r="N185" s="5" t="n">
        <v>0.3371520347673836</v>
      </c>
      <c r="O185" s="3" t="n">
        <v>57017.1</v>
      </c>
      <c r="P185" s="5" t="n">
        <v>0.3164934510874808</v>
      </c>
      <c r="Q185" s="3" t="n">
        <v>39900</v>
      </c>
      <c r="R185" s="5" t="n">
        <v>0.02326914160401005</v>
      </c>
      <c r="S185" s="3" t="n">
        <v>39</v>
      </c>
      <c r="T185" s="5" t="n">
        <v>0.7370339996626181</v>
      </c>
      <c r="U185" s="6" t="n"/>
    </row>
    <row r="186">
      <c r="A186" s="2" t="inlineStr">
        <is>
          <t>LA EMPERATRIZ</t>
        </is>
      </c>
      <c r="B186" s="2" t="inlineStr">
        <is>
          <t>RENACER SLEEP SHORT SLEEVELESS SHIRT</t>
        </is>
      </c>
      <c r="C186" s="2" t="inlineStr">
        <is>
          <t>274125/RENC</t>
        </is>
      </c>
      <c r="D186" s="2" t="n">
        <v>8000</v>
      </c>
      <c r="E186" s="3" t="n">
        <v>21807.84375</v>
      </c>
      <c r="F186" s="4" t="n">
        <v>10185.03125</v>
      </c>
      <c r="G186" s="3">
        <f>IF(OR(E186="",F186=""),"",E186+F186)</f>
        <v/>
      </c>
      <c r="H186" s="3" t="n">
        <v>38071.52125</v>
      </c>
      <c r="I186" s="3" t="n">
        <v>95178.80312499999</v>
      </c>
      <c r="J186" s="3" t="n">
        <v>89950</v>
      </c>
      <c r="K186" s="3" t="n">
        <v>41573.52941176471</v>
      </c>
      <c r="L186" s="5" t="n">
        <v>0.2304508312698976</v>
      </c>
      <c r="M186" s="3" t="n">
        <v>52911.76470588235</v>
      </c>
      <c r="N186" s="5" t="n">
        <v>0.395354224569205</v>
      </c>
      <c r="O186" s="3" t="n">
        <v>53215.95999999999</v>
      </c>
      <c r="P186" s="5" t="n">
        <v>0.3988105260151277</v>
      </c>
      <c r="Q186" s="3" t="n">
        <v>37239.99999999999</v>
      </c>
      <c r="R186" s="5" t="n">
        <v>0.1409002416756175</v>
      </c>
      <c r="S186" s="3" t="n">
        <v>36.4</v>
      </c>
      <c r="T186" s="5" t="n">
        <v>0.7687039112203586</v>
      </c>
      <c r="U186" s="6" t="n"/>
    </row>
    <row r="187">
      <c r="A187" s="2" t="inlineStr">
        <is>
          <t>LA EMPERATRIZ</t>
        </is>
      </c>
      <c r="B187" s="2" t="inlineStr">
        <is>
          <t>I'M WHITE MESH SPORTY TOP</t>
        </is>
      </c>
      <c r="C187" s="2" t="inlineStr">
        <is>
          <t>263176/WHT</t>
        </is>
      </c>
      <c r="D187" s="2" t="n">
        <v>8000</v>
      </c>
      <c r="E187" s="3" t="n">
        <v>34874.77793103448</v>
      </c>
      <c r="F187" s="4" t="n">
        <v>10185.03125</v>
      </c>
      <c r="G187" s="3">
        <f>IF(OR(E187="",F187=""),"",E187+F187)</f>
        <v/>
      </c>
      <c r="H187" s="3" t="n">
        <v>53621.17292543103</v>
      </c>
      <c r="I187" s="3" t="n">
        <v>134052.9323135776</v>
      </c>
      <c r="J187" s="3" t="n">
        <v>129900</v>
      </c>
      <c r="K187" s="3" t="n">
        <v>60037.81512605043</v>
      </c>
      <c r="L187" s="5" t="n">
        <v>0.2494761995180765</v>
      </c>
      <c r="M187" s="3" t="n">
        <v>76411.76470588235</v>
      </c>
      <c r="N187" s="5" t="n">
        <v>0.4103027281927742</v>
      </c>
      <c r="O187" s="3" t="n">
        <v>125437.62</v>
      </c>
      <c r="P187" s="5" t="n">
        <v>0.6407791443983512</v>
      </c>
      <c r="Q187" s="3" t="n">
        <v>87779.99999999999</v>
      </c>
      <c r="R187" s="5" t="n">
        <v>0.4866733973452439</v>
      </c>
      <c r="S187" s="3" t="n">
        <v>85.8</v>
      </c>
      <c r="T187" s="5" t="n">
        <v>0.8617966839006426</v>
      </c>
      <c r="U187" s="6" t="n"/>
    </row>
    <row r="188">
      <c r="A188" s="2" t="inlineStr">
        <is>
          <t>LA EMPERATRIZ</t>
        </is>
      </c>
      <c r="B188" s="2" t="inlineStr">
        <is>
          <t>I'M WHITE MESH HIGH WAIST BOTTOM</t>
        </is>
      </c>
      <c r="C188" s="2" t="inlineStr">
        <is>
          <t>263244/WHT</t>
        </is>
      </c>
      <c r="D188" s="2" t="n">
        <v>8000</v>
      </c>
      <c r="E188" s="3" t="n">
        <v>24960.90620689655</v>
      </c>
      <c r="F188" s="4" t="n">
        <v>10185.03125</v>
      </c>
      <c r="G188" s="3">
        <f>IF(OR(E188="",F188=""),"",E188+F188)</f>
        <v/>
      </c>
      <c r="H188" s="3" t="n">
        <v>41823.66557370689</v>
      </c>
      <c r="I188" s="3" t="n">
        <v>104559.1639342672</v>
      </c>
      <c r="J188" s="3" t="n">
        <v>109900</v>
      </c>
      <c r="K188" s="3" t="n">
        <v>50794.11764705883</v>
      </c>
      <c r="L188" s="5" t="n">
        <v>0.3080707159615039</v>
      </c>
      <c r="M188" s="3" t="n">
        <v>64647.05882352941</v>
      </c>
      <c r="N188" s="5" t="n">
        <v>0.4563412768268959</v>
      </c>
      <c r="O188" s="3" t="n">
        <v>114034.2</v>
      </c>
      <c r="P188" s="5" t="n">
        <v>0.6917947645803053</v>
      </c>
      <c r="Q188" s="3" t="n">
        <v>79800</v>
      </c>
      <c r="R188" s="5" t="n">
        <v>0.5595747185852563</v>
      </c>
      <c r="S188" s="3" t="n">
        <v>78</v>
      </c>
      <c r="T188" s="5" t="n">
        <v>0.8814239626960305</v>
      </c>
      <c r="U188" s="6" t="n"/>
    </row>
    <row r="189">
      <c r="A189" s="2" t="inlineStr">
        <is>
          <t>LA EMPERATRIZ</t>
        </is>
      </c>
      <c r="B189" s="2" t="inlineStr">
        <is>
          <t>I'M IVORY CARGO PANTS</t>
        </is>
      </c>
      <c r="C189" s="2" t="inlineStr">
        <is>
          <t>27PA25/IVRY</t>
        </is>
      </c>
      <c r="D189" s="2" t="n">
        <v>8000</v>
      </c>
      <c r="E189" s="3" t="n">
        <v>64756.51568253968</v>
      </c>
      <c r="F189" s="4" t="n">
        <v>10185.03125</v>
      </c>
      <c r="G189" s="3">
        <f>IF(OR(E189="",F189=""),"",E189+F189)</f>
        <v/>
      </c>
      <c r="H189" s="3" t="n">
        <v>89180.44084972222</v>
      </c>
      <c r="I189" s="3" t="n">
        <v>222951.1021243055</v>
      </c>
      <c r="J189" s="3" t="n">
        <v>189900</v>
      </c>
      <c r="K189" s="3" t="n">
        <v>87768.90756302522</v>
      </c>
      <c r="L189" s="5" t="n">
        <v>0.1461492570278882</v>
      </c>
      <c r="M189" s="3" t="n">
        <v>111705.8823529412</v>
      </c>
      <c r="N189" s="5" t="n">
        <v>0.3291172733790549</v>
      </c>
      <c r="O189" s="3" t="n">
        <v>212863.84</v>
      </c>
      <c r="P189" s="5" t="n">
        <v>0.6479366954362015</v>
      </c>
      <c r="Q189" s="3" t="n">
        <v>148960</v>
      </c>
      <c r="R189" s="5" t="n">
        <v>0.4969015377783318</v>
      </c>
      <c r="S189" s="3" t="n">
        <v>145.6</v>
      </c>
      <c r="T189" s="5" t="n">
        <v>0.8645504140172432</v>
      </c>
      <c r="U189" s="6" t="n"/>
    </row>
    <row r="190">
      <c r="A190" s="2" t="inlineStr">
        <is>
          <t>LA EMPERATRIZ</t>
        </is>
      </c>
      <c r="B190" s="2" t="inlineStr">
        <is>
          <t>I'M IVORY EMBROIDERED SHIRT</t>
        </is>
      </c>
      <c r="C190" s="2" t="inlineStr">
        <is>
          <t>27CA38/IVRY</t>
        </is>
      </c>
      <c r="D190" s="2" t="n">
        <v>8000</v>
      </c>
      <c r="E190" s="3" t="n">
        <v>45437</v>
      </c>
      <c r="F190" s="4" t="n">
        <v>10185.03125</v>
      </c>
      <c r="G190" s="3">
        <f>IF(OR(E190="",F190=""),"",E190+F190)</f>
        <v/>
      </c>
      <c r="H190" s="3" t="n">
        <v>66190.21718749999</v>
      </c>
      <c r="I190" s="3" t="n">
        <v>165475.54296875</v>
      </c>
      <c r="J190" s="3" t="n">
        <v>149900</v>
      </c>
      <c r="K190" s="3" t="n">
        <v>69281.51260504202</v>
      </c>
      <c r="L190" s="5" t="n">
        <v>0.1971591098611196</v>
      </c>
      <c r="M190" s="3" t="n">
        <v>88176.4705882353</v>
      </c>
      <c r="N190" s="5" t="n">
        <v>0.3691964434623082</v>
      </c>
      <c r="O190" s="3" t="n">
        <v>209062.7</v>
      </c>
      <c r="P190" s="5" t="n">
        <v>0.7339456954779595</v>
      </c>
      <c r="Q190" s="3" t="n">
        <v>146300</v>
      </c>
      <c r="R190" s="5" t="n">
        <v>0.6198083988380041</v>
      </c>
      <c r="S190" s="3" t="n">
        <v>143</v>
      </c>
      <c r="T190" s="5" t="n">
        <v>0.897640722764078</v>
      </c>
      <c r="U190" s="6" t="n"/>
    </row>
    <row r="191">
      <c r="A191" s="2" t="inlineStr">
        <is>
          <t>LA EMPERATRIZ</t>
        </is>
      </c>
      <c r="B191" s="2" t="inlineStr">
        <is>
          <t>I'M IVORY EMBROIDERED WRAP SKORT</t>
        </is>
      </c>
      <c r="C191" s="2" t="inlineStr">
        <is>
          <t>27FA29/IVRY</t>
        </is>
      </c>
      <c r="D191" s="2" t="n">
        <v>8000</v>
      </c>
      <c r="E191" s="3" t="n">
        <v>36274</v>
      </c>
      <c r="F191" s="4" t="n">
        <v>10185.03125</v>
      </c>
      <c r="G191" s="3">
        <f>IF(OR(E191="",F191=""),"",E191+F191)</f>
        <v/>
      </c>
      <c r="H191" s="3" t="n">
        <v>55286.2471875</v>
      </c>
      <c r="I191" s="3" t="n">
        <v>138215.61796875</v>
      </c>
      <c r="J191" s="3" t="n">
        <v>139900</v>
      </c>
      <c r="K191" s="3" t="n">
        <v>64659.66386554623</v>
      </c>
      <c r="L191" s="5" t="n">
        <v>0.2814835637468323</v>
      </c>
      <c r="M191" s="3" t="n">
        <v>82294.11764705883</v>
      </c>
      <c r="N191" s="5" t="n">
        <v>0.4354513715153681</v>
      </c>
      <c r="O191" s="3" t="n">
        <v>190057</v>
      </c>
      <c r="P191" s="5" t="n">
        <v>0.755552117259559</v>
      </c>
      <c r="Q191" s="3" t="n">
        <v>133000</v>
      </c>
      <c r="R191" s="5" t="n">
        <v>0.6506839755639098</v>
      </c>
      <c r="S191" s="3" t="n">
        <v>130</v>
      </c>
      <c r="T191" s="5" t="n">
        <v>0.9059533780364373</v>
      </c>
      <c r="U191" s="6" t="n"/>
    </row>
    <row r="192">
      <c r="A192" s="2" t="inlineStr">
        <is>
          <t>LA EMPERATRIZ</t>
        </is>
      </c>
      <c r="B192" s="2" t="inlineStr">
        <is>
          <t>I'M IVORY EMBROIDERED WAISTCOAT</t>
        </is>
      </c>
      <c r="C192" s="2" t="inlineStr">
        <is>
          <t>27WA20/IVRY</t>
        </is>
      </c>
      <c r="D192" s="2" t="n">
        <v>8000</v>
      </c>
      <c r="E192" s="3" t="n"/>
      <c r="F192" s="4" t="n">
        <v>10185.03125</v>
      </c>
      <c r="G192" s="3">
        <f>IF(OR(E192="",F192=""),"",E192+F192)</f>
        <v/>
      </c>
      <c r="H192" s="3" t="n">
        <v>12120.1871875</v>
      </c>
      <c r="I192" s="3" t="n">
        <v>30300.46796875</v>
      </c>
      <c r="J192" s="3" t="n"/>
      <c r="K192" s="3" t="n">
        <v>0</v>
      </c>
      <c r="L192" s="5" t="e">
        <v>#DIV/0!</v>
      </c>
      <c r="M192" s="3" t="n">
        <v>0</v>
      </c>
      <c r="N192" s="5" t="e">
        <v>#DIV/0!</v>
      </c>
      <c r="O192" s="3" t="n">
        <v>197659.28</v>
      </c>
      <c r="P192" s="5" t="n">
        <v>0.9484717780516048</v>
      </c>
      <c r="Q192" s="3" t="n">
        <v>138320</v>
      </c>
      <c r="R192" s="5" t="n">
        <v>0.9263661708357432</v>
      </c>
      <c r="S192" s="3" t="n">
        <v>135.2</v>
      </c>
      <c r="T192" s="5" t="n">
        <v>0.9801755075327001</v>
      </c>
      <c r="U192" s="7" t="inlineStr">
        <is>
          <t>Falta costo directo (COSTO PRODUCTO) en el archivo original — ya venía como #DIV/0! ahí</t>
        </is>
      </c>
    </row>
    <row r="193">
      <c r="A193" s="2" t="inlineStr">
        <is>
          <t>LA EMPERATRIZ</t>
        </is>
      </c>
      <c r="B193" s="2" t="inlineStr">
        <is>
          <t>VENUS TRIANGLE TOP</t>
        </is>
      </c>
      <c r="C193" s="2" t="inlineStr">
        <is>
          <t>273135/VENS</t>
        </is>
      </c>
      <c r="D193" s="2" t="n">
        <v>8000</v>
      </c>
      <c r="E193" s="3" t="n">
        <v>31318.24892307692</v>
      </c>
      <c r="F193" s="4" t="n">
        <v>10185.03125</v>
      </c>
      <c r="G193" s="3">
        <f>IF(OR(E193="",F193=""),"",E193+F193)</f>
        <v/>
      </c>
      <c r="H193" s="3" t="n">
        <v>49388.90340596154</v>
      </c>
      <c r="I193" s="3" t="n">
        <v>123472.2585149038</v>
      </c>
      <c r="J193" s="3" t="n">
        <v>109900</v>
      </c>
      <c r="K193" s="3" t="n">
        <v>50794.11764705883</v>
      </c>
      <c r="L193" s="5" t="n">
        <v>0.1829116815954745</v>
      </c>
      <c r="M193" s="3" t="n">
        <v>64647.05882352941</v>
      </c>
      <c r="N193" s="5" t="n">
        <v>0.3580020355393013</v>
      </c>
      <c r="O193" s="3" t="n">
        <v>98829.64</v>
      </c>
      <c r="P193" s="5" t="n">
        <v>0.5800522983481785</v>
      </c>
      <c r="Q193" s="3" t="n">
        <v>69160</v>
      </c>
      <c r="R193" s="5" t="n">
        <v>0.399894734339547</v>
      </c>
      <c r="S193" s="3" t="n">
        <v>67.60000000000001</v>
      </c>
      <c r="T193" s="5" t="n">
        <v>0.8384331977068011</v>
      </c>
      <c r="U193" s="6" t="n"/>
    </row>
    <row r="194">
      <c r="A194" s="2" t="inlineStr">
        <is>
          <t>LA EMPERATRIZ</t>
        </is>
      </c>
      <c r="B194" s="2" t="inlineStr">
        <is>
          <t>VENUS STRAP TIE SIDE BOTTOM</t>
        </is>
      </c>
      <c r="C194" s="2" t="inlineStr">
        <is>
          <t>273236/VENS</t>
        </is>
      </c>
      <c r="D194" s="2" t="n">
        <v>8000</v>
      </c>
      <c r="E194" s="3" t="n">
        <v>31458</v>
      </c>
      <c r="F194" s="4" t="n">
        <v>10185.03125</v>
      </c>
      <c r="G194" s="3">
        <f>IF(OR(E194="",F194=""),"",E194+F194)</f>
        <v/>
      </c>
      <c r="H194" s="3" t="n">
        <v>49555.2071875</v>
      </c>
      <c r="I194" s="3" t="n">
        <v>123888.01796875</v>
      </c>
      <c r="J194" s="3" t="n">
        <v>119900</v>
      </c>
      <c r="K194" s="3" t="n">
        <v>55415.96638655462</v>
      </c>
      <c r="L194" s="5" t="n">
        <v>0.2485373085525817</v>
      </c>
      <c r="M194" s="3" t="n">
        <v>70529.41176470587</v>
      </c>
      <c r="N194" s="5" t="n">
        <v>0.409565028148457</v>
      </c>
      <c r="O194" s="3" t="n">
        <v>98829.64</v>
      </c>
      <c r="P194" s="5" t="n">
        <v>0.5786382379820467</v>
      </c>
      <c r="Q194" s="3" t="n">
        <v>69160</v>
      </c>
      <c r="R194" s="5" t="n">
        <v>0.3978740420763447</v>
      </c>
      <c r="S194" s="3" t="n">
        <v>67.60000000000001</v>
      </c>
      <c r="T194" s="5" t="n">
        <v>0.8378891651744005</v>
      </c>
      <c r="U194" s="6" t="n"/>
    </row>
    <row r="195">
      <c r="A195" s="2" t="inlineStr">
        <is>
          <t>LA EMPERATRIZ</t>
        </is>
      </c>
      <c r="B195" s="2" t="inlineStr">
        <is>
          <t>VENUS SPORTY TOP</t>
        </is>
      </c>
      <c r="C195" s="2" t="inlineStr">
        <is>
          <t>273145/VENS</t>
        </is>
      </c>
      <c r="D195" s="2" t="n">
        <v>8000</v>
      </c>
      <c r="E195" s="3" t="n">
        <v>28675</v>
      </c>
      <c r="F195" s="4" t="n">
        <v>10185.03125</v>
      </c>
      <c r="G195" s="3">
        <f>IF(OR(E195="",F195=""),"",E195+F195)</f>
        <v/>
      </c>
      <c r="H195" s="3" t="n">
        <v>46243.4371875</v>
      </c>
      <c r="I195" s="3" t="n">
        <v>115608.59296875</v>
      </c>
      <c r="J195" s="3" t="n">
        <v>119900</v>
      </c>
      <c r="K195" s="3" t="n">
        <v>55415.96638655462</v>
      </c>
      <c r="L195" s="5" t="n">
        <v>0.2987574920388202</v>
      </c>
      <c r="M195" s="3" t="n">
        <v>70529.41176470587</v>
      </c>
      <c r="N195" s="5" t="n">
        <v>0.4490237437447873</v>
      </c>
      <c r="O195" s="3" t="n">
        <v>114034.2</v>
      </c>
      <c r="P195" s="5" t="n">
        <v>0.6592247654650973</v>
      </c>
      <c r="Q195" s="3" t="n">
        <v>79800</v>
      </c>
      <c r="R195" s="5" t="n">
        <v>0.5130321898496241</v>
      </c>
      <c r="S195" s="3" t="n">
        <v>78</v>
      </c>
      <c r="T195" s="5" t="n">
        <v>0.8688932818825911</v>
      </c>
      <c r="U195" s="6" t="n"/>
    </row>
    <row r="196">
      <c r="A196" s="2" t="inlineStr">
        <is>
          <t>LA EMPERATRIZ</t>
        </is>
      </c>
      <c r="B196" s="2" t="inlineStr">
        <is>
          <t>VENUS HIGH WAIST BOTTOM</t>
        </is>
      </c>
      <c r="C196" s="2" t="inlineStr">
        <is>
          <t>273223/VENS</t>
        </is>
      </c>
      <c r="D196" s="2" t="n">
        <v>8000</v>
      </c>
      <c r="E196" s="3" t="n">
        <v>21976.61</v>
      </c>
      <c r="F196" s="4" t="n">
        <v>10185.03125</v>
      </c>
      <c r="G196" s="3">
        <f>IF(OR(E196="",F196=""),"",E196+F196)</f>
        <v/>
      </c>
      <c r="H196" s="3" t="n">
        <v>38272.3530875</v>
      </c>
      <c r="I196" s="3" t="n">
        <v>95680.88271874998</v>
      </c>
      <c r="J196" s="3" t="n">
        <v>109900</v>
      </c>
      <c r="K196" s="3" t="n">
        <v>50794.11764705883</v>
      </c>
      <c r="L196" s="5" t="n">
        <v>0.3668235075275044</v>
      </c>
      <c r="M196" s="3" t="n">
        <v>64647.05882352941</v>
      </c>
      <c r="N196" s="5" t="n">
        <v>0.5025041844858962</v>
      </c>
      <c r="O196" s="3" t="n">
        <v>98829.64</v>
      </c>
      <c r="P196" s="5" t="n">
        <v>0.6745749428005606</v>
      </c>
      <c r="Q196" s="3" t="n">
        <v>69160</v>
      </c>
      <c r="R196" s="5" t="n">
        <v>0.5349675932620012</v>
      </c>
      <c r="S196" s="3" t="n">
        <v>67.60000000000001</v>
      </c>
      <c r="T196" s="5" t="n">
        <v>0.8747989674166926</v>
      </c>
      <c r="U196" s="6" t="n"/>
    </row>
    <row r="197">
      <c r="A197" s="2" t="inlineStr">
        <is>
          <t>LA EMPERATRIZ</t>
        </is>
      </c>
      <c r="B197" s="2" t="inlineStr">
        <is>
          <t>VENUS STRAIGHT ONE PIECE</t>
        </is>
      </c>
      <c r="C197" s="2" t="inlineStr">
        <is>
          <t>273370/VENS</t>
        </is>
      </c>
      <c r="D197" s="2" t="n">
        <v>8000</v>
      </c>
      <c r="E197" s="3" t="n">
        <v>41826.0998</v>
      </c>
      <c r="F197" s="4" t="n">
        <v>10185.03125</v>
      </c>
      <c r="G197" s="3">
        <f>IF(OR(E197="",F197=""),"",E197+F197)</f>
        <v/>
      </c>
      <c r="H197" s="3" t="n">
        <v>61893.2459495</v>
      </c>
      <c r="I197" s="3" t="n">
        <v>154733.11487375</v>
      </c>
      <c r="J197" s="3" t="n">
        <v>189900</v>
      </c>
      <c r="K197" s="3" t="n">
        <v>87768.90756302522</v>
      </c>
      <c r="L197" s="5" t="n">
        <v>0.4074082440566806</v>
      </c>
      <c r="M197" s="3" t="n">
        <v>111705.8823529412</v>
      </c>
      <c r="N197" s="5" t="n">
        <v>0.5343921917588204</v>
      </c>
      <c r="O197" s="3" t="n">
        <v>190057</v>
      </c>
      <c r="P197" s="5" t="n">
        <v>0.7263393032090373</v>
      </c>
      <c r="Q197" s="3" t="n">
        <v>133000</v>
      </c>
      <c r="R197" s="5" t="n">
        <v>0.6089388642857143</v>
      </c>
      <c r="S197" s="3" t="n">
        <v>130</v>
      </c>
      <c r="T197" s="5" t="n">
        <v>0.8947143096153846</v>
      </c>
      <c r="U197" s="6" t="n"/>
    </row>
    <row r="198">
      <c r="A198" s="2" t="inlineStr">
        <is>
          <t>LA EMPERATRIZ</t>
        </is>
      </c>
      <c r="B198" s="2" t="inlineStr">
        <is>
          <t>VENUS RUCHED STRAPLESS ONE PIECE</t>
        </is>
      </c>
      <c r="C198" s="2" t="inlineStr">
        <is>
          <t>273373/VENS</t>
        </is>
      </c>
      <c r="D198" s="2" t="n">
        <v>8000</v>
      </c>
      <c r="E198" s="3" t="n">
        <v>42622</v>
      </c>
      <c r="F198" s="4" t="n">
        <v>10185.03125</v>
      </c>
      <c r="G198" s="3">
        <f>IF(OR(E198="",F198=""),"",E198+F198)</f>
        <v/>
      </c>
      <c r="H198" s="3" t="n">
        <v>62840.3671875</v>
      </c>
      <c r="I198" s="3" t="n">
        <v>157100.91796875</v>
      </c>
      <c r="J198" s="3" t="n">
        <v>199900</v>
      </c>
      <c r="K198" s="3" t="n">
        <v>92390.75630252103</v>
      </c>
      <c r="L198" s="5" t="n">
        <v>0.428438153735959</v>
      </c>
      <c r="M198" s="3" t="n">
        <v>117588.2352941176</v>
      </c>
      <c r="N198" s="5" t="n">
        <v>0.5509156922211105</v>
      </c>
      <c r="O198" s="3" t="n">
        <v>197659.28</v>
      </c>
      <c r="P198" s="5" t="n">
        <v>0.732838087591941</v>
      </c>
      <c r="Q198" s="3" t="n">
        <v>138320</v>
      </c>
      <c r="R198" s="5" t="n">
        <v>0.6182256271688837</v>
      </c>
      <c r="S198" s="3" t="n">
        <v>135.2</v>
      </c>
      <c r="T198" s="5" t="n">
        <v>0.8972145919300841</v>
      </c>
      <c r="U198" s="6" t="n"/>
    </row>
    <row r="199">
      <c r="A199" s="2" t="inlineStr">
        <is>
          <t>LA EMPERATRIZ</t>
        </is>
      </c>
      <c r="B199" s="2" t="inlineStr">
        <is>
          <t>VENUS PAREO</t>
        </is>
      </c>
      <c r="C199" s="2" t="inlineStr">
        <is>
          <t>27RE22/VENS</t>
        </is>
      </c>
      <c r="D199" s="2" t="n">
        <v>8000</v>
      </c>
      <c r="E199" s="3" t="n">
        <v>22789.02857142857</v>
      </c>
      <c r="F199" s="4" t="n">
        <v>10185.03125</v>
      </c>
      <c r="G199" s="3">
        <f>IF(OR(E199="",F199=""),"",E199+F199)</f>
        <v/>
      </c>
      <c r="H199" s="3" t="n">
        <v>39239.1311875</v>
      </c>
      <c r="I199" s="3" t="n">
        <v>98097.82796874999</v>
      </c>
      <c r="J199" s="3" t="n">
        <v>139900</v>
      </c>
      <c r="K199" s="3" t="n">
        <v>64659.66386554623</v>
      </c>
      <c r="L199" s="5" t="n">
        <v>0.4900366341217754</v>
      </c>
      <c r="M199" s="3" t="n">
        <v>82294.11764705883</v>
      </c>
      <c r="N199" s="5" t="n">
        <v>0.5993144982385378</v>
      </c>
      <c r="O199" s="3" t="n">
        <v>136841.04</v>
      </c>
      <c r="P199" s="5" t="n">
        <v>0.7590338408606908</v>
      </c>
      <c r="Q199" s="3" t="n">
        <v>95760</v>
      </c>
      <c r="R199" s="5" t="n">
        <v>0.6556593585899272</v>
      </c>
      <c r="S199" s="3" t="n">
        <v>93.60000000000001</v>
      </c>
      <c r="T199" s="5" t="n">
        <v>0.9072929042357497</v>
      </c>
      <c r="U199" s="6" t="n"/>
    </row>
    <row r="200">
      <c r="A200" s="2" t="inlineStr">
        <is>
          <t>LA EMPERATRIZ</t>
        </is>
      </c>
      <c r="B200" s="2" t="inlineStr">
        <is>
          <t>VENUS TOWEL</t>
        </is>
      </c>
      <c r="C200" s="2" t="inlineStr">
        <is>
          <t>27TO27/VENS</t>
        </is>
      </c>
      <c r="D200" s="2" t="n">
        <v>8000</v>
      </c>
      <c r="E200" s="3" t="n">
        <v>30842</v>
      </c>
      <c r="F200" s="4" t="n">
        <v>10185.03125</v>
      </c>
      <c r="G200" s="3">
        <f>IF(OR(E200="",F200=""),"",E200+F200)</f>
        <v/>
      </c>
      <c r="H200" s="3" t="n">
        <v>48822.1671875</v>
      </c>
      <c r="I200" s="3" t="n">
        <v>122055.41796875</v>
      </c>
      <c r="J200" s="3" t="n">
        <v>89900</v>
      </c>
      <c r="K200" s="3" t="n">
        <v>41550.42016806723</v>
      </c>
      <c r="L200" s="5" t="n">
        <v>0.01259647714632437</v>
      </c>
      <c r="M200" s="3" t="n">
        <v>52882.35294117647</v>
      </c>
      <c r="N200" s="5" t="n">
        <v>0.2241829463292547</v>
      </c>
      <c r="O200" s="3" t="n">
        <v>106431.92</v>
      </c>
      <c r="P200" s="5" t="n">
        <v>0.6145232440606163</v>
      </c>
      <c r="Q200" s="3" t="n">
        <v>74479.99999999999</v>
      </c>
      <c r="R200" s="5" t="n">
        <v>0.4491537157626208</v>
      </c>
      <c r="S200" s="3" t="n">
        <v>72.8</v>
      </c>
      <c r="T200" s="5" t="n">
        <v>0.8516952311668594</v>
      </c>
      <c r="U200" s="6" t="n"/>
    </row>
    <row r="201">
      <c r="A201" s="2" t="inlineStr">
        <is>
          <t>LA EMPERATRIZ</t>
        </is>
      </c>
      <c r="B201" s="2" t="inlineStr">
        <is>
          <t>VENUS T-SHIRT</t>
        </is>
      </c>
      <c r="C201" s="2" t="inlineStr">
        <is>
          <t>27TSH20/VENS</t>
        </is>
      </c>
      <c r="D201" s="2" t="n">
        <v>8000</v>
      </c>
      <c r="E201" s="3" t="n">
        <v>35411.6</v>
      </c>
      <c r="F201" s="4" t="n">
        <v>10185.03125</v>
      </c>
      <c r="G201" s="3">
        <f>IF(OR(E201="",F201=""),"",E201+F201)</f>
        <v/>
      </c>
      <c r="H201" s="3" t="n">
        <v>54259.9911875</v>
      </c>
      <c r="I201" s="3" t="n">
        <v>135649.97796875</v>
      </c>
      <c r="J201" s="3" t="n">
        <v>129900</v>
      </c>
      <c r="K201" s="3" t="n">
        <v>60037.81512605043</v>
      </c>
      <c r="L201" s="5" t="n">
        <v>0.2405348003709148</v>
      </c>
      <c r="M201" s="3" t="n">
        <v>76411.76470588235</v>
      </c>
      <c r="N201" s="5" t="n">
        <v>0.4032773431485758</v>
      </c>
      <c r="O201" s="3" t="n">
        <v>129238.76</v>
      </c>
      <c r="P201" s="5" t="n">
        <v>0.6471907402237532</v>
      </c>
      <c r="Q201" s="3" t="n">
        <v>90439.99999999999</v>
      </c>
      <c r="R201" s="5" t="n">
        <v>0.4958355677797434</v>
      </c>
      <c r="S201" s="3" t="n">
        <v>88.40000000000001</v>
      </c>
      <c r="T201" s="5" t="n">
        <v>0.8642634220945464</v>
      </c>
      <c r="U201" s="6" t="n"/>
    </row>
    <row r="202">
      <c r="A202" s="2" t="inlineStr">
        <is>
          <t>LA EMPERATRIZ</t>
        </is>
      </c>
      <c r="B202" s="2" t="inlineStr">
        <is>
          <t>VENUS MESH LONG DRESS</t>
        </is>
      </c>
      <c r="C202" s="2" t="inlineStr">
        <is>
          <t>27VE36/VENS</t>
        </is>
      </c>
      <c r="D202" s="2" t="n">
        <v>8000</v>
      </c>
      <c r="E202" s="3" t="n">
        <v>49635.625</v>
      </c>
      <c r="F202" s="4" t="n">
        <v>10185.03125</v>
      </c>
      <c r="G202" s="3">
        <f>IF(OR(E202="",F202=""),"",E202+F202)</f>
        <v/>
      </c>
      <c r="H202" s="3" t="n">
        <v>71186.5809375</v>
      </c>
      <c r="I202" s="3" t="n">
        <v>177966.45234375</v>
      </c>
      <c r="J202" s="3" t="n">
        <v>169900</v>
      </c>
      <c r="K202" s="3" t="n">
        <v>78525.21008403362</v>
      </c>
      <c r="L202" s="5" t="n">
        <v>0.2381980744020548</v>
      </c>
      <c r="M202" s="3" t="n">
        <v>99941.17647058824</v>
      </c>
      <c r="N202" s="5" t="n">
        <v>0.401441344173043</v>
      </c>
      <c r="O202" s="3" t="n">
        <v>182454.72</v>
      </c>
      <c r="P202" s="5" t="n">
        <v>0.6721342355517028</v>
      </c>
      <c r="Q202" s="3" t="n">
        <v>127680</v>
      </c>
      <c r="R202" s="5" t="n">
        <v>0.5314798226033834</v>
      </c>
      <c r="S202" s="3" t="n">
        <v>124.8</v>
      </c>
      <c r="T202" s="5" t="n">
        <v>0.8738599522393725</v>
      </c>
      <c r="U202" s="6" t="n"/>
    </row>
    <row r="203">
      <c r="A203" s="2" t="inlineStr">
        <is>
          <t>LA EMPERATRIZ</t>
        </is>
      </c>
      <c r="B203" s="2" t="inlineStr">
        <is>
          <t>VENUS MESH LONG SHIRT</t>
        </is>
      </c>
      <c r="C203" s="2" t="inlineStr">
        <is>
          <t>27CA32/VENS</t>
        </is>
      </c>
      <c r="D203" s="2" t="n">
        <v>8000</v>
      </c>
      <c r="E203" s="3" t="n">
        <v>26982</v>
      </c>
      <c r="F203" s="4" t="n">
        <v>10185.03125</v>
      </c>
      <c r="G203" s="3">
        <f>IF(OR(E203="",F203=""),"",E203+F203)</f>
        <v/>
      </c>
      <c r="H203" s="3" t="n">
        <v>44228.7671875</v>
      </c>
      <c r="I203" s="3" t="n">
        <v>110571.91796875</v>
      </c>
      <c r="J203" s="3" t="n">
        <v>119900</v>
      </c>
      <c r="K203" s="3" t="n">
        <v>55415.96638655462</v>
      </c>
      <c r="L203" s="5" t="n">
        <v>0.3293082540374555</v>
      </c>
      <c r="M203" s="3" t="n">
        <v>70529.41176470587</v>
      </c>
      <c r="N203" s="5" t="n">
        <v>0.4730279138865721</v>
      </c>
      <c r="O203" s="3" t="n">
        <v>114034.2</v>
      </c>
      <c r="P203" s="5" t="n">
        <v>0.6740711887310999</v>
      </c>
      <c r="Q203" s="3" t="n">
        <v>79800</v>
      </c>
      <c r="R203" s="5" t="n">
        <v>0.5342477286967419</v>
      </c>
      <c r="S203" s="3" t="n">
        <v>78</v>
      </c>
      <c r="T203" s="5" t="n">
        <v>0.8746051577260459</v>
      </c>
      <c r="U203" s="6" t="n"/>
    </row>
    <row r="204">
      <c r="A204" s="2" t="inlineStr">
        <is>
          <t>LA EMPERATRIZ</t>
        </is>
      </c>
      <c r="B204" s="2" t="inlineStr">
        <is>
          <t>VENUS MESH SHIRT</t>
        </is>
      </c>
      <c r="C204" s="2" t="inlineStr">
        <is>
          <t>27CA36/VENS</t>
        </is>
      </c>
      <c r="D204" s="2" t="n">
        <v>8000</v>
      </c>
      <c r="E204" s="3" t="n">
        <v>30229.34408602151</v>
      </c>
      <c r="F204" s="4" t="n">
        <v>10185.03125</v>
      </c>
      <c r="G204" s="3">
        <f>IF(OR(E204="",F204=""),"",E204+F204)</f>
        <v/>
      </c>
      <c r="H204" s="3" t="n">
        <v>48093.10664986559</v>
      </c>
      <c r="I204" s="3" t="n">
        <v>120232.766624664</v>
      </c>
      <c r="J204" s="3" t="n">
        <v>129900</v>
      </c>
      <c r="K204" s="3" t="n">
        <v>60037.81512605043</v>
      </c>
      <c r="L204" s="5" t="n">
        <v>0.3268513310957298</v>
      </c>
      <c r="M204" s="3" t="n">
        <v>76411.76470588235</v>
      </c>
      <c r="N204" s="5" t="n">
        <v>0.4710974744323591</v>
      </c>
      <c r="O204" s="3" t="n">
        <v>144443.32</v>
      </c>
      <c r="P204" s="5" t="n">
        <v>0.7202059926618862</v>
      </c>
      <c r="Q204" s="3" t="n">
        <v>101080</v>
      </c>
      <c r="R204" s="5" t="n">
        <v>0.6001743635138355</v>
      </c>
      <c r="S204" s="3" t="n">
        <v>98.8</v>
      </c>
      <c r="T204" s="5" t="n">
        <v>0.8923546363306479</v>
      </c>
      <c r="U204" s="6" t="n"/>
    </row>
    <row r="205">
      <c r="A205" s="2" t="inlineStr">
        <is>
          <t>LA EMPERATRIZ</t>
        </is>
      </c>
      <c r="B205" s="2" t="inlineStr">
        <is>
          <t>VENUS WRAP SKORT</t>
        </is>
      </c>
      <c r="C205" s="2" t="inlineStr">
        <is>
          <t>27FA25/VENS</t>
        </is>
      </c>
      <c r="D205" s="2" t="n">
        <v>8000</v>
      </c>
      <c r="E205" s="3" t="n">
        <v>36274</v>
      </c>
      <c r="F205" s="4" t="n">
        <v>10185.03125</v>
      </c>
      <c r="G205" s="3">
        <f>IF(OR(E205="",F205=""),"",E205+F205)</f>
        <v/>
      </c>
      <c r="H205" s="3" t="n">
        <v>55286.2471875</v>
      </c>
      <c r="I205" s="3" t="n">
        <v>138215.61796875</v>
      </c>
      <c r="J205" s="3" t="n">
        <v>139900</v>
      </c>
      <c r="K205" s="3" t="n">
        <v>64659.66386554623</v>
      </c>
      <c r="L205" s="5" t="n">
        <v>0.2814835637468323</v>
      </c>
      <c r="M205" s="3" t="n">
        <v>82294.11764705883</v>
      </c>
      <c r="N205" s="5" t="n">
        <v>0.4354513715153681</v>
      </c>
      <c r="O205" s="3" t="n">
        <v>167250.16</v>
      </c>
      <c r="P205" s="5" t="n">
        <v>0.7222183150676806</v>
      </c>
      <c r="Q205" s="3" t="n">
        <v>117040</v>
      </c>
      <c r="R205" s="5" t="n">
        <v>0.6030499722317156</v>
      </c>
      <c r="S205" s="3" t="n">
        <v>114.4</v>
      </c>
      <c r="T205" s="5" t="n">
        <v>0.8931288386777696</v>
      </c>
      <c r="U205" s="6" t="n"/>
    </row>
    <row r="206">
      <c r="A206" s="2" t="inlineStr">
        <is>
          <t>LA EMPERATRIZ</t>
        </is>
      </c>
      <c r="B206" s="2" t="inlineStr">
        <is>
          <t>VENUS SLEEP SLEEVELESS SHIRT</t>
        </is>
      </c>
      <c r="C206" s="2" t="inlineStr">
        <is>
          <t>274124/VENS</t>
        </is>
      </c>
      <c r="D206" s="2" t="n">
        <v>8000</v>
      </c>
      <c r="E206" s="3" t="n">
        <v>18336.66</v>
      </c>
      <c r="F206" s="4" t="n">
        <v>10185.03125</v>
      </c>
      <c r="G206" s="3">
        <f>IF(OR(E206="",F206=""),"",E206+F206)</f>
        <v/>
      </c>
      <c r="H206" s="3" t="n">
        <v>33940.8125875</v>
      </c>
      <c r="I206" s="3" t="n">
        <v>84852.03146874999</v>
      </c>
      <c r="J206" s="3" t="n">
        <v>79950</v>
      </c>
      <c r="K206" s="3" t="n">
        <v>36951.68067226891</v>
      </c>
      <c r="L206" s="5" t="n">
        <v>0.2281354804138952</v>
      </c>
      <c r="M206" s="3" t="n">
        <v>47029.41176470588</v>
      </c>
      <c r="N206" s="5" t="n">
        <v>0.3935350203252032</v>
      </c>
      <c r="O206" s="3" t="n">
        <v>49414.82</v>
      </c>
      <c r="P206" s="5" t="n">
        <v>0.4228109856516729</v>
      </c>
      <c r="Q206" s="3" t="n">
        <v>34580</v>
      </c>
      <c r="R206" s="5" t="n">
        <v>0.1751968984962406</v>
      </c>
      <c r="S206" s="3" t="n">
        <v>33.8</v>
      </c>
      <c r="T206" s="5" t="n">
        <v>0.7779376265182186</v>
      </c>
      <c r="U206" s="6" t="n"/>
    </row>
    <row r="207">
      <c r="A207" s="2" t="inlineStr">
        <is>
          <t>LA EMPERATRIZ</t>
        </is>
      </c>
      <c r="B207" s="2" t="inlineStr">
        <is>
          <t>VENUS SLEEP SHORT</t>
        </is>
      </c>
      <c r="C207" s="2" t="inlineStr">
        <is>
          <t>274222/VENS</t>
        </is>
      </c>
      <c r="D207" s="2" t="n">
        <v>8000</v>
      </c>
      <c r="E207" s="3" t="n">
        <v>18737.81</v>
      </c>
      <c r="F207" s="4" t="n">
        <v>10185.03125</v>
      </c>
      <c r="G207" s="3">
        <f>IF(OR(E207="",F207=""),"",E207+F207)</f>
        <v/>
      </c>
      <c r="H207" s="3" t="n">
        <v>34418.1810875</v>
      </c>
      <c r="I207" s="3" t="n">
        <v>86045.45271874999</v>
      </c>
      <c r="J207" s="3" t="n">
        <v>99950</v>
      </c>
      <c r="K207" s="3" t="n">
        <v>46195.37815126051</v>
      </c>
      <c r="L207" s="5" t="n">
        <v>0.373901840238301</v>
      </c>
      <c r="M207" s="3" t="n">
        <v>58794.11764705882</v>
      </c>
      <c r="N207" s="5" t="n">
        <v>0.5080657316158078</v>
      </c>
      <c r="O207" s="3" t="n">
        <v>49414.82</v>
      </c>
      <c r="P207" s="5" t="n">
        <v>0.4146929757105257</v>
      </c>
      <c r="Q207" s="3" t="n">
        <v>34580</v>
      </c>
      <c r="R207" s="5" t="n">
        <v>0.1635962622903412</v>
      </c>
      <c r="S207" s="3" t="n">
        <v>33.8</v>
      </c>
      <c r="T207" s="5" t="n">
        <v>0.7748143783089381</v>
      </c>
      <c r="U207" s="6" t="n"/>
    </row>
    <row r="208">
      <c r="A208" s="2" t="inlineStr">
        <is>
          <t>LA EMPERATRIZ</t>
        </is>
      </c>
      <c r="B208" s="2" t="inlineStr">
        <is>
          <t>VENUS SLEEP LONG SHIRT</t>
        </is>
      </c>
      <c r="C208" s="2" t="inlineStr">
        <is>
          <t>274121/VENS</t>
        </is>
      </c>
      <c r="D208" s="2" t="n">
        <v>8000</v>
      </c>
      <c r="E208" s="3" t="n">
        <v>32611.31</v>
      </c>
      <c r="F208" s="4" t="n">
        <v>10185.03125</v>
      </c>
      <c r="G208" s="3">
        <f>IF(OR(E208="",F208=""),"",E208+F208)</f>
        <v/>
      </c>
      <c r="H208" s="3" t="n">
        <v>50927.6460875</v>
      </c>
      <c r="I208" s="3" t="n">
        <v>127319.11521875</v>
      </c>
      <c r="J208" s="3" t="n">
        <v>99950</v>
      </c>
      <c r="K208" s="3" t="n">
        <v>46195.37815126051</v>
      </c>
      <c r="L208" s="5" t="n">
        <v>0.07357958820319273</v>
      </c>
      <c r="M208" s="3" t="n">
        <v>58794.11764705882</v>
      </c>
      <c r="N208" s="5" t="n">
        <v>0.2720982478739369</v>
      </c>
      <c r="O208" s="3" t="n">
        <v>244359</v>
      </c>
      <c r="P208" s="5" t="n">
        <v>0.8248628401245708</v>
      </c>
      <c r="Q208" s="3" t="n">
        <v>171000</v>
      </c>
      <c r="R208" s="5" t="n">
        <v>0.7497289985380117</v>
      </c>
      <c r="S208" s="3" t="n">
        <v>44.2</v>
      </c>
      <c r="T208" s="5" t="n">
        <v>0.7451992066563468</v>
      </c>
      <c r="U208" s="6" t="n"/>
    </row>
    <row r="209">
      <c r="A209" s="2" t="inlineStr">
        <is>
          <t>LA EMPERATRIZ</t>
        </is>
      </c>
      <c r="B209" s="2" t="inlineStr">
        <is>
          <t>VENUS SLEEP PANTS</t>
        </is>
      </c>
      <c r="C209" s="2" t="inlineStr">
        <is>
          <t>274323/VENS</t>
        </is>
      </c>
      <c r="D209" s="2" t="n">
        <v>8000</v>
      </c>
      <c r="E209" s="3" t="n">
        <v>28786.53</v>
      </c>
      <c r="F209" s="4" t="n">
        <v>10185.03125</v>
      </c>
      <c r="G209" s="3">
        <f>IF(OR(E209="",F209=""),"",E209+F209)</f>
        <v/>
      </c>
      <c r="H209" s="3" t="n">
        <v>46376.1578875</v>
      </c>
      <c r="I209" s="3" t="n">
        <v>115940.39471875</v>
      </c>
      <c r="J209" s="3" t="n">
        <v>99950</v>
      </c>
      <c r="K209" s="3" t="n">
        <v>46195.37815126051</v>
      </c>
      <c r="L209" s="5" t="n">
        <v>0.1563753169766703</v>
      </c>
      <c r="M209" s="3" t="n">
        <v>58794.11764705882</v>
      </c>
      <c r="N209" s="5" t="n">
        <v>0.3371520347673836</v>
      </c>
      <c r="O209" s="3" t="n">
        <v>206347.6</v>
      </c>
      <c r="P209" s="5" t="n">
        <v>0.8111363483268039</v>
      </c>
      <c r="Q209" s="3" t="n">
        <v>144400</v>
      </c>
      <c r="R209" s="5" t="n">
        <v>0.7301138417590027</v>
      </c>
      <c r="S209" s="3" t="n">
        <v>39</v>
      </c>
      <c r="T209" s="5" t="n">
        <v>0.7370339996626181</v>
      </c>
      <c r="U209" s="6" t="n"/>
    </row>
    <row r="210">
      <c r="A210" s="2" t="inlineStr">
        <is>
          <t>LA EMPERATRIZ</t>
        </is>
      </c>
      <c r="B210" s="2" t="inlineStr">
        <is>
          <t>VENUS SLEEP SHORT SLEEVELESS SHIRT</t>
        </is>
      </c>
      <c r="C210" s="2" t="inlineStr">
        <is>
          <t>274125/VENS</t>
        </is>
      </c>
      <c r="D210" s="2" t="n">
        <v>8000</v>
      </c>
      <c r="E210" s="3" t="n">
        <v>21807.84375</v>
      </c>
      <c r="F210" s="4" t="n">
        <v>10185.03125</v>
      </c>
      <c r="G210" s="3">
        <f>IF(OR(E210="",F210=""),"",E210+F210)</f>
        <v/>
      </c>
      <c r="H210" s="3" t="n">
        <v>38071.52125</v>
      </c>
      <c r="I210" s="3" t="n">
        <v>95178.80312499999</v>
      </c>
      <c r="J210" s="3" t="n">
        <v>89950</v>
      </c>
      <c r="K210" s="3" t="n">
        <v>41573.52941176471</v>
      </c>
      <c r="L210" s="5" t="n">
        <v>0.2304508312698976</v>
      </c>
      <c r="M210" s="3" t="n">
        <v>52911.76470588235</v>
      </c>
      <c r="N210" s="5" t="n">
        <v>0.395354224569205</v>
      </c>
      <c r="O210" s="3" t="n">
        <v>53215.95999999999</v>
      </c>
      <c r="P210" s="5" t="n">
        <v>0.3988105260151277</v>
      </c>
      <c r="Q210" s="3" t="n">
        <v>37239.99999999999</v>
      </c>
      <c r="R210" s="5" t="n">
        <v>0.1409002416756175</v>
      </c>
      <c r="S210" s="3" t="n">
        <v>36.4</v>
      </c>
      <c r="T210" s="5" t="n">
        <v>0.7687039112203586</v>
      </c>
      <c r="U210" s="6" t="n"/>
    </row>
    <row r="211">
      <c r="A211" s="2" t="inlineStr">
        <is>
          <t>LA EMPERATRIZ</t>
        </is>
      </c>
      <c r="B211" s="2" t="inlineStr">
        <is>
          <t>I'M BURGUNDY MESH DOUBLE STRAP TRIANGLE TOP</t>
        </is>
      </c>
      <c r="C211" s="2" t="inlineStr">
        <is>
          <t>273178/BURG</t>
        </is>
      </c>
      <c r="D211" s="2" t="n">
        <v>8000</v>
      </c>
      <c r="E211" s="3" t="n">
        <v>31204</v>
      </c>
      <c r="F211" s="4" t="n">
        <v>10185.03125</v>
      </c>
      <c r="G211" s="3">
        <f>IF(OR(E211="",F211=""),"",E211+F211)</f>
        <v/>
      </c>
      <c r="H211" s="3" t="n">
        <v>49252.94718749999</v>
      </c>
      <c r="I211" s="3" t="n">
        <v>123132.36796875</v>
      </c>
      <c r="J211" s="3" t="n">
        <v>129900</v>
      </c>
      <c r="K211" s="3" t="n">
        <v>60037.81512605043</v>
      </c>
      <c r="L211" s="5" t="n">
        <v>0.3106172973965989</v>
      </c>
      <c r="M211" s="3" t="n">
        <v>76411.76470588235</v>
      </c>
      <c r="N211" s="5" t="n">
        <v>0.4583421622401848</v>
      </c>
      <c r="O211" s="3" t="n">
        <v>121636.48</v>
      </c>
      <c r="P211" s="5" t="n">
        <v>0.6597317576930869</v>
      </c>
      <c r="Q211" s="3" t="n">
        <v>85120</v>
      </c>
      <c r="R211" s="5" t="n">
        <v>0.513756681743421</v>
      </c>
      <c r="S211" s="3" t="n">
        <v>83.2</v>
      </c>
      <c r="T211" s="5" t="n">
        <v>0.8690883373924595</v>
      </c>
      <c r="U211" s="6" t="n"/>
    </row>
    <row r="212">
      <c r="A212" s="2" t="inlineStr">
        <is>
          <t>LA EMPERATRIZ</t>
        </is>
      </c>
      <c r="B212" s="2" t="inlineStr">
        <is>
          <t>I'M BURGUNDY MESH STRAP TIE SIDE BOTTOM</t>
        </is>
      </c>
      <c r="C212" s="2" t="inlineStr">
        <is>
          <t>273243/BURG</t>
        </is>
      </c>
      <c r="D212" s="2" t="n">
        <v>8000</v>
      </c>
      <c r="E212" s="3" t="n">
        <v>28402.929105</v>
      </c>
      <c r="F212" s="4" t="n">
        <v>10185.03125</v>
      </c>
      <c r="G212" s="3">
        <f>IF(OR(E212="",F212=""),"",E212+F212)</f>
        <v/>
      </c>
      <c r="H212" s="3" t="n">
        <v>45919.67282245</v>
      </c>
      <c r="I212" s="3" t="n">
        <v>114799.182056125</v>
      </c>
      <c r="J212" s="3" t="n">
        <v>119900</v>
      </c>
      <c r="K212" s="3" t="n">
        <v>55415.96638655462</v>
      </c>
      <c r="L212" s="5" t="n">
        <v>0.3036671040647509</v>
      </c>
      <c r="M212" s="3" t="n">
        <v>70529.41176470587</v>
      </c>
      <c r="N212" s="5" t="n">
        <v>0.4528812960508756</v>
      </c>
      <c r="O212" s="3" t="n">
        <v>106431.92</v>
      </c>
      <c r="P212" s="5" t="n">
        <v>0.6374399676807483</v>
      </c>
      <c r="Q212" s="3" t="n">
        <v>74479.99999999999</v>
      </c>
      <c r="R212" s="5" t="n">
        <v>0.4819017138157893</v>
      </c>
      <c r="S212" s="3" t="n">
        <v>72.8</v>
      </c>
      <c r="T212" s="5" t="n">
        <v>0.8605119998734818</v>
      </c>
      <c r="U212" s="6" t="n"/>
    </row>
    <row r="213">
      <c r="A213" s="2" t="inlineStr">
        <is>
          <t>LA EMPERATRIZ</t>
        </is>
      </c>
      <c r="B213" s="2" t="inlineStr">
        <is>
          <t>I'M BURGUNDY MESH HALTER STRAP ONE PIECE</t>
        </is>
      </c>
      <c r="C213" s="2" t="inlineStr">
        <is>
          <t>273375/BURG</t>
        </is>
      </c>
      <c r="D213" s="2" t="n">
        <v>8000</v>
      </c>
      <c r="E213" s="3" t="n">
        <v>52580.91</v>
      </c>
      <c r="F213" s="4" t="n">
        <v>10185.03125</v>
      </c>
      <c r="G213" s="3">
        <f>IF(OR(E213="",F213=""),"",E213+F213)</f>
        <v/>
      </c>
      <c r="H213" s="3" t="n">
        <v>74691.4700875</v>
      </c>
      <c r="I213" s="3" t="n">
        <v>186728.67521875</v>
      </c>
      <c r="J213" s="3" t="n">
        <v>199900</v>
      </c>
      <c r="K213" s="3" t="n">
        <v>92390.75630252103</v>
      </c>
      <c r="L213" s="5" t="n">
        <v>0.3206469590477057</v>
      </c>
      <c r="M213" s="3" t="n">
        <v>117588.2352941176</v>
      </c>
      <c r="N213" s="5" t="n">
        <v>0.4662226106803401</v>
      </c>
      <c r="O213" s="3" t="n">
        <v>209062.7</v>
      </c>
      <c r="P213" s="5" t="n">
        <v>0.6997745592590165</v>
      </c>
      <c r="Q213" s="3" t="n">
        <v>146300</v>
      </c>
      <c r="R213" s="5" t="n">
        <v>0.5709778451811346</v>
      </c>
      <c r="S213" s="3" t="n">
        <v>143</v>
      </c>
      <c r="T213" s="5" t="n">
        <v>0.8844940352410746</v>
      </c>
      <c r="U213" s="6" t="n"/>
    </row>
    <row r="214">
      <c r="A214" s="2" t="inlineStr">
        <is>
          <t>LA EMPERATRIZ</t>
        </is>
      </c>
      <c r="B214" s="2" t="inlineStr">
        <is>
          <t>I'M BURGUNDY MACRAME KNIT DRESS</t>
        </is>
      </c>
      <c r="C214" s="2" t="inlineStr">
        <is>
          <t>27VE32/BURG</t>
        </is>
      </c>
      <c r="D214" s="2" t="n">
        <v>8000</v>
      </c>
      <c r="E214" s="3" t="n">
        <v>59360</v>
      </c>
      <c r="F214" s="4" t="n">
        <v>10185.03125</v>
      </c>
      <c r="G214" s="3">
        <f>IF(OR(E214="",F214=""),"",E214+F214)</f>
        <v/>
      </c>
      <c r="H214" s="3" t="n">
        <v>82758.5871875</v>
      </c>
      <c r="I214" s="3" t="n">
        <v>206896.46796875</v>
      </c>
      <c r="J214" s="3" t="n">
        <v>219900</v>
      </c>
      <c r="K214" s="3" t="n">
        <v>101634.4537815126</v>
      </c>
      <c r="L214" s="5" t="n">
        <v>0.315733703852991</v>
      </c>
      <c r="M214" s="3" t="n">
        <v>129352.9411764706</v>
      </c>
      <c r="N214" s="5" t="n">
        <v>0.462362195884493</v>
      </c>
      <c r="O214" s="3" t="n">
        <v>228068.4</v>
      </c>
      <c r="P214" s="5" t="n">
        <v>0.695069412290348</v>
      </c>
      <c r="Q214" s="3" t="n">
        <v>159600</v>
      </c>
      <c r="R214" s="5" t="n">
        <v>0.5642541901629072</v>
      </c>
      <c r="S214" s="3" t="n">
        <v>156</v>
      </c>
      <c r="T214" s="5" t="n">
        <v>0.882683820428475</v>
      </c>
      <c r="U214" s="6" t="n"/>
    </row>
    <row r="215">
      <c r="A215" s="2" t="inlineStr">
        <is>
          <t>LA EMPERATRIZ</t>
        </is>
      </c>
      <c r="B215" s="2" t="inlineStr">
        <is>
          <t>I'M BURGUNDY MESH KNIT SHIRT</t>
        </is>
      </c>
      <c r="C215" s="2" t="inlineStr">
        <is>
          <t>27CA37/BURG</t>
        </is>
      </c>
      <c r="D215" s="2" t="n">
        <v>8000</v>
      </c>
      <c r="E215" s="3" t="n">
        <v>39513.2555555556</v>
      </c>
      <c r="F215" s="4" t="n">
        <v>10185.03125</v>
      </c>
      <c r="G215" s="3">
        <f>IF(OR(E215="",F215=""),"",E215+F215)</f>
        <v/>
      </c>
      <c r="H215" s="3" t="n">
        <v>59140.96129861117</v>
      </c>
      <c r="I215" s="3" t="n">
        <v>147852.4032465279</v>
      </c>
      <c r="J215" s="3" t="n">
        <v>149900</v>
      </c>
      <c r="K215" s="3" t="n">
        <v>69281.51260504202</v>
      </c>
      <c r="L215" s="5" t="n">
        <v>0.2826616374721188</v>
      </c>
      <c r="M215" s="3" t="n">
        <v>88176.4705882353</v>
      </c>
      <c r="N215" s="5" t="n">
        <v>0.4363770008709505</v>
      </c>
      <c r="O215" s="3" t="n">
        <v>152045.6</v>
      </c>
      <c r="P215" s="5" t="n">
        <v>0.6731356461117217</v>
      </c>
      <c r="Q215" s="3" t="n">
        <v>106400</v>
      </c>
      <c r="R215" s="5" t="n">
        <v>0.5329108382936504</v>
      </c>
      <c r="S215" s="3" t="n">
        <v>104</v>
      </c>
      <c r="T215" s="5" t="n">
        <v>0.8742452256944444</v>
      </c>
      <c r="U215" s="6" t="n"/>
    </row>
    <row r="216">
      <c r="A216" s="2" t="inlineStr">
        <is>
          <t>LA EMPERATRIZ</t>
        </is>
      </c>
      <c r="B216" s="2" t="inlineStr">
        <is>
          <t>I'M BURGUNDY MESH KNIT PANTS</t>
        </is>
      </c>
      <c r="C216" s="2" t="inlineStr">
        <is>
          <t>27PA26/BURG</t>
        </is>
      </c>
      <c r="D216" s="2" t="n">
        <v>8000</v>
      </c>
      <c r="E216" s="3" t="n">
        <v>47192.70193548387</v>
      </c>
      <c r="F216" s="4" t="n">
        <v>10185.03125</v>
      </c>
      <c r="G216" s="3">
        <f>IF(OR(E216="",F216=""),"",E216+F216)</f>
        <v/>
      </c>
      <c r="H216" s="3" t="n">
        <v>68279.5024907258</v>
      </c>
      <c r="I216" s="3" t="n">
        <v>170698.7562268145</v>
      </c>
      <c r="J216" s="3" t="n">
        <v>159900</v>
      </c>
      <c r="K216" s="3" t="n">
        <v>73903.36134453783</v>
      </c>
      <c r="L216" s="5" t="n">
        <v>0.2236113196801888</v>
      </c>
      <c r="M216" s="3" t="n">
        <v>94058.82352941176</v>
      </c>
      <c r="N216" s="5" t="n">
        <v>0.3899803226058625</v>
      </c>
      <c r="O216" s="3" t="n">
        <v>174852.44</v>
      </c>
      <c r="P216" s="5" t="n">
        <v>0.671850543318218</v>
      </c>
      <c r="Q216" s="3" t="n">
        <v>122360</v>
      </c>
      <c r="R216" s="5" t="n">
        <v>0.5310744264017336</v>
      </c>
      <c r="S216" s="3" t="n">
        <v>119.6</v>
      </c>
      <c r="T216" s="5" t="n">
        <v>0.873750807108159</v>
      </c>
      <c r="U216" s="6" t="n"/>
    </row>
    <row r="217">
      <c r="A217" s="2" t="inlineStr">
        <is>
          <t>LA EMPERATRIZ</t>
        </is>
      </c>
      <c r="B217" s="2" t="inlineStr">
        <is>
          <t>I'M BURGUNDY MACRAME KNIT HALTER TOP</t>
        </is>
      </c>
      <c r="C217" s="2" t="inlineStr">
        <is>
          <t>27CA39/BURG</t>
        </is>
      </c>
      <c r="D217" s="2" t="n">
        <v>8000</v>
      </c>
      <c r="E217" s="3" t="n">
        <v>25774</v>
      </c>
      <c r="F217" s="4" t="n">
        <v>10185.03125</v>
      </c>
      <c r="G217" s="3">
        <f>IF(OR(E217="",F217=""),"",E217+F217)</f>
        <v/>
      </c>
      <c r="H217" s="3" t="n">
        <v>42791.2471875</v>
      </c>
      <c r="I217" s="3" t="n">
        <v>106978.11796875</v>
      </c>
      <c r="J217" s="3" t="n">
        <v>119900</v>
      </c>
      <c r="K217" s="3" t="n">
        <v>55415.96638655462</v>
      </c>
      <c r="L217" s="5" t="n">
        <v>0.3511070257411479</v>
      </c>
      <c r="M217" s="3" t="n">
        <v>70529.41176470587</v>
      </c>
      <c r="N217" s="5" t="n">
        <v>0.4901555202251876</v>
      </c>
      <c r="O217" s="3" t="n">
        <v>121636.48</v>
      </c>
      <c r="P217" s="5" t="n">
        <v>0.7043729705923749</v>
      </c>
      <c r="Q217" s="3" t="n">
        <v>85120</v>
      </c>
      <c r="R217" s="5" t="n">
        <v>0.5775489749765037</v>
      </c>
      <c r="S217" s="3" t="n">
        <v>83.2</v>
      </c>
      <c r="T217" s="5" t="n">
        <v>0.8862631855705971</v>
      </c>
      <c r="U217" s="6" t="n"/>
    </row>
    <row r="218">
      <c r="A218" s="2" t="inlineStr">
        <is>
          <t>LA EMPERATRIZ</t>
        </is>
      </c>
      <c r="B218" s="2" t="inlineStr">
        <is>
          <t>I'M BURGUNDY MACRAME KNIT LONG SKIRT</t>
        </is>
      </c>
      <c r="C218" s="2" t="inlineStr">
        <is>
          <t>27FA27/BURG</t>
        </is>
      </c>
      <c r="D218" s="2" t="n">
        <v>8000</v>
      </c>
      <c r="E218" s="3" t="n">
        <v>45652</v>
      </c>
      <c r="F218" s="4" t="n">
        <v>10185.03125</v>
      </c>
      <c r="G218" s="3">
        <f>IF(OR(E218="",F218=""),"",E218+F218)</f>
        <v/>
      </c>
      <c r="H218" s="3" t="n">
        <v>66446.0671875</v>
      </c>
      <c r="I218" s="3" t="n">
        <v>166115.16796875</v>
      </c>
      <c r="J218" s="3" t="n">
        <v>159900</v>
      </c>
      <c r="K218" s="3" t="n">
        <v>73903.36134453783</v>
      </c>
      <c r="L218" s="5" t="n">
        <v>0.2444588414634148</v>
      </c>
      <c r="M218" s="3" t="n">
        <v>94058.82352941176</v>
      </c>
      <c r="N218" s="5" t="n">
        <v>0.4063605182926829</v>
      </c>
      <c r="O218" s="3" t="n">
        <v>190057</v>
      </c>
      <c r="P218" s="5" t="n">
        <v>0.7062090254502597</v>
      </c>
      <c r="Q218" s="3" t="n">
        <v>133000</v>
      </c>
      <c r="R218" s="5" t="n">
        <v>0.580172697368421</v>
      </c>
      <c r="S218" s="3" t="n">
        <v>130</v>
      </c>
      <c r="T218" s="5" t="n">
        <v>0.886969572368421</v>
      </c>
      <c r="U218" s="6" t="n"/>
    </row>
    <row r="219">
      <c r="A219" s="2" t="inlineStr">
        <is>
          <t>LA EMPERATRIZ</t>
        </is>
      </c>
      <c r="B219" s="2" t="inlineStr">
        <is>
          <t>SOL Y LUNA TRIANGLE TOP</t>
        </is>
      </c>
      <c r="C219" s="2" t="inlineStr">
        <is>
          <t>273135/SOLN</t>
        </is>
      </c>
      <c r="D219" s="2" t="n">
        <v>8000</v>
      </c>
      <c r="E219" s="3" t="n">
        <v>30076</v>
      </c>
      <c r="F219" s="4" t="n">
        <v>10185.03125</v>
      </c>
      <c r="G219" s="3">
        <f>IF(OR(E219="",F219=""),"",E219+F219)</f>
        <v/>
      </c>
      <c r="H219" s="3" t="n">
        <v>47910.62718749999</v>
      </c>
      <c r="I219" s="3" t="n">
        <v>119776.56796875</v>
      </c>
      <c r="J219" s="3" t="n">
        <v>109900</v>
      </c>
      <c r="K219" s="3" t="n">
        <v>50794.11764705883</v>
      </c>
      <c r="L219" s="5" t="n">
        <v>0.2073682324840765</v>
      </c>
      <c r="M219" s="3" t="n">
        <v>64647.05882352941</v>
      </c>
      <c r="N219" s="5" t="n">
        <v>0.3772178969517743</v>
      </c>
      <c r="O219" s="3" t="n">
        <v>98829.64</v>
      </c>
      <c r="P219" s="5" t="n">
        <v>0.5926218971353129</v>
      </c>
      <c r="Q219" s="3" t="n">
        <v>69160</v>
      </c>
      <c r="R219" s="5" t="n">
        <v>0.4178566910063621</v>
      </c>
      <c r="S219" s="3" t="n">
        <v>67.60000000000001</v>
      </c>
      <c r="T219" s="5" t="n">
        <v>0.8432691091170975</v>
      </c>
      <c r="U219" s="6" t="n"/>
    </row>
    <row r="220">
      <c r="A220" s="2" t="inlineStr">
        <is>
          <t>LA EMPERATRIZ</t>
        </is>
      </c>
      <c r="B220" s="2" t="inlineStr">
        <is>
          <t>SOL Y LUNA STRAP TIE SIDE BOTTOM</t>
        </is>
      </c>
      <c r="C220" s="2" t="inlineStr">
        <is>
          <t>273236/SOLN</t>
        </is>
      </c>
      <c r="D220" s="2" t="n">
        <v>8000</v>
      </c>
      <c r="E220" s="3" t="n">
        <v>31458</v>
      </c>
      <c r="F220" s="4" t="n">
        <v>10185.03125</v>
      </c>
      <c r="G220" s="3">
        <f>IF(OR(E220="",F220=""),"",E220+F220)</f>
        <v/>
      </c>
      <c r="H220" s="3" t="n">
        <v>49555.2071875</v>
      </c>
      <c r="I220" s="3" t="n">
        <v>123888.01796875</v>
      </c>
      <c r="J220" s="3" t="n">
        <v>119900</v>
      </c>
      <c r="K220" s="3" t="n">
        <v>55415.96638655462</v>
      </c>
      <c r="L220" s="5" t="n">
        <v>0.2485373085525817</v>
      </c>
      <c r="M220" s="3" t="n">
        <v>70529.41176470587</v>
      </c>
      <c r="N220" s="5" t="n">
        <v>0.409565028148457</v>
      </c>
      <c r="O220" s="3" t="n">
        <v>98829.64</v>
      </c>
      <c r="P220" s="5" t="n">
        <v>0.5786382379820467</v>
      </c>
      <c r="Q220" s="3" t="n">
        <v>69160</v>
      </c>
      <c r="R220" s="5" t="n">
        <v>0.3978740420763447</v>
      </c>
      <c r="S220" s="3" t="n">
        <v>67.60000000000001</v>
      </c>
      <c r="T220" s="5" t="n">
        <v>0.8378891651744005</v>
      </c>
      <c r="U220" s="6" t="n"/>
    </row>
    <row r="221">
      <c r="A221" s="2" t="inlineStr">
        <is>
          <t>LA EMPERATRIZ</t>
        </is>
      </c>
      <c r="B221" s="2" t="inlineStr">
        <is>
          <t>SOL Y LUNA SPORTY TOP</t>
        </is>
      </c>
      <c r="C221" s="2" t="inlineStr">
        <is>
          <t>273145/SOLN</t>
        </is>
      </c>
      <c r="D221" s="2" t="n">
        <v>8000</v>
      </c>
      <c r="E221" s="3" t="n">
        <v>28675</v>
      </c>
      <c r="F221" s="4" t="n">
        <v>10185.03125</v>
      </c>
      <c r="G221" s="3">
        <f>IF(OR(E221="",F221=""),"",E221+F221)</f>
        <v/>
      </c>
      <c r="H221" s="3" t="n">
        <v>46243.4371875</v>
      </c>
      <c r="I221" s="3" t="n">
        <v>115608.59296875</v>
      </c>
      <c r="J221" s="3" t="n">
        <v>119900</v>
      </c>
      <c r="K221" s="3" t="n">
        <v>55415.96638655462</v>
      </c>
      <c r="L221" s="5" t="n">
        <v>0.2987574920388202</v>
      </c>
      <c r="M221" s="3" t="n">
        <v>70529.41176470587</v>
      </c>
      <c r="N221" s="5" t="n">
        <v>0.4490237437447873</v>
      </c>
      <c r="O221" s="3" t="n">
        <v>114034.2</v>
      </c>
      <c r="P221" s="5" t="n">
        <v>0.6592247654650973</v>
      </c>
      <c r="Q221" s="3" t="n">
        <v>79800</v>
      </c>
      <c r="R221" s="5" t="n">
        <v>0.5130321898496241</v>
      </c>
      <c r="S221" s="3" t="n">
        <v>78</v>
      </c>
      <c r="T221" s="5" t="n">
        <v>0.8688932818825911</v>
      </c>
      <c r="U221" s="6" t="n"/>
    </row>
    <row r="222">
      <c r="A222" s="2" t="inlineStr">
        <is>
          <t>LA EMPERATRIZ</t>
        </is>
      </c>
      <c r="B222" s="2" t="inlineStr">
        <is>
          <t>SOL Y LUNA HIGH WAIST BOTTOM</t>
        </is>
      </c>
      <c r="C222" s="2" t="inlineStr">
        <is>
          <t>273223/SOLN</t>
        </is>
      </c>
      <c r="D222" s="2" t="n">
        <v>8000</v>
      </c>
      <c r="E222" s="3" t="n">
        <v>21976.61</v>
      </c>
      <c r="F222" s="4" t="n">
        <v>10185.03125</v>
      </c>
      <c r="G222" s="3">
        <f>IF(OR(E222="",F222=""),"",E222+F222)</f>
        <v/>
      </c>
      <c r="H222" s="3" t="n">
        <v>38272.3530875</v>
      </c>
      <c r="I222" s="3" t="n">
        <v>95680.88271874998</v>
      </c>
      <c r="J222" s="3" t="n">
        <v>109900</v>
      </c>
      <c r="K222" s="3" t="n">
        <v>50794.11764705883</v>
      </c>
      <c r="L222" s="5" t="n">
        <v>0.3668235075275044</v>
      </c>
      <c r="M222" s="3" t="n">
        <v>64647.05882352941</v>
      </c>
      <c r="N222" s="5" t="n">
        <v>0.5025041844858962</v>
      </c>
      <c r="O222" s="3" t="n">
        <v>98829.64</v>
      </c>
      <c r="P222" s="5" t="n">
        <v>0.6745749428005606</v>
      </c>
      <c r="Q222" s="3" t="n">
        <v>69160</v>
      </c>
      <c r="R222" s="5" t="n">
        <v>0.5349675932620012</v>
      </c>
      <c r="S222" s="3" t="n">
        <v>67.60000000000001</v>
      </c>
      <c r="T222" s="5" t="n">
        <v>0.8747989674166926</v>
      </c>
      <c r="U222" s="6" t="n"/>
    </row>
    <row r="223">
      <c r="A223" s="2" t="inlineStr">
        <is>
          <t>LA EMPERATRIZ</t>
        </is>
      </c>
      <c r="B223" s="2" t="inlineStr">
        <is>
          <t>SOL Y LUNA STRAIGHT ONE PIECE</t>
        </is>
      </c>
      <c r="C223" s="2" t="inlineStr">
        <is>
          <t>273370/SOLN</t>
        </is>
      </c>
      <c r="D223" s="2" t="n">
        <v>8000</v>
      </c>
      <c r="E223" s="3" t="n">
        <v>48876.9098</v>
      </c>
      <c r="F223" s="4" t="n">
        <v>10185.03125</v>
      </c>
      <c r="G223" s="3">
        <f>IF(OR(E223="",F223=""),"",E223+F223)</f>
        <v/>
      </c>
      <c r="H223" s="3" t="n">
        <v>70283.7098495</v>
      </c>
      <c r="I223" s="3" t="n">
        <v>175709.27462375</v>
      </c>
      <c r="J223" s="3" t="n">
        <v>189900</v>
      </c>
      <c r="K223" s="3" t="n">
        <v>87768.90756302522</v>
      </c>
      <c r="L223" s="5" t="n">
        <v>0.3270744425343483</v>
      </c>
      <c r="M223" s="3" t="n">
        <v>111705.8823529412</v>
      </c>
      <c r="N223" s="5" t="n">
        <v>0.4712727762769879</v>
      </c>
      <c r="O223" s="3" t="n">
        <v>190057</v>
      </c>
      <c r="P223" s="5" t="n">
        <v>0.6892409064122869</v>
      </c>
      <c r="Q223" s="3" t="n">
        <v>133000</v>
      </c>
      <c r="R223" s="5" t="n">
        <v>0.5559252552631579</v>
      </c>
      <c r="S223" s="3" t="n">
        <v>130</v>
      </c>
      <c r="T223" s="5" t="n">
        <v>0.8804414148785424</v>
      </c>
      <c r="U223" s="6" t="n"/>
    </row>
    <row r="224">
      <c r="A224" s="2" t="inlineStr">
        <is>
          <t>LA EMPERATRIZ</t>
        </is>
      </c>
      <c r="B224" s="2" t="inlineStr">
        <is>
          <t>SOL Y LUNA HALTER STRAP ONE PIECE</t>
        </is>
      </c>
      <c r="C224" s="2" t="inlineStr">
        <is>
          <t>273372/SOLN</t>
        </is>
      </c>
      <c r="D224" s="2" t="n">
        <v>8000</v>
      </c>
      <c r="E224" s="3" t="n">
        <v>47702.31</v>
      </c>
      <c r="F224" s="4" t="n">
        <v>10185.03125</v>
      </c>
      <c r="G224" s="3">
        <f>IF(OR(E224="",F224=""),"",E224+F224)</f>
        <v/>
      </c>
      <c r="H224" s="3" t="n">
        <v>68885.9360875</v>
      </c>
      <c r="I224" s="3" t="n">
        <v>172214.84021875</v>
      </c>
      <c r="J224" s="3" t="n">
        <v>199900</v>
      </c>
      <c r="K224" s="3" t="n">
        <v>92390.75630252103</v>
      </c>
      <c r="L224" s="5" t="n">
        <v>0.3734509428577927</v>
      </c>
      <c r="M224" s="3" t="n">
        <v>117588.2352941176</v>
      </c>
      <c r="N224" s="5" t="n">
        <v>0.5077114551025512</v>
      </c>
      <c r="O224" s="3" t="n">
        <v>209062.7</v>
      </c>
      <c r="P224" s="5" t="n">
        <v>0.7231101423161569</v>
      </c>
      <c r="Q224" s="3" t="n">
        <v>146300</v>
      </c>
      <c r="R224" s="5" t="n">
        <v>0.6043243933697882</v>
      </c>
      <c r="S224" s="3" t="n">
        <v>143</v>
      </c>
      <c r="T224" s="5" t="n">
        <v>0.8934719520610968</v>
      </c>
      <c r="U224" s="6" t="n"/>
    </row>
    <row r="225">
      <c r="A225" s="2" t="inlineStr">
        <is>
          <t>LA EMPERATRIZ</t>
        </is>
      </c>
      <c r="B225" s="2" t="inlineStr">
        <is>
          <t>SOL Y LUNA PAREO</t>
        </is>
      </c>
      <c r="C225" s="2" t="inlineStr">
        <is>
          <t>27RE22/SOLN</t>
        </is>
      </c>
      <c r="D225" s="2" t="n">
        <v>8000</v>
      </c>
      <c r="E225" s="3" t="n">
        <v>22789.02857142857</v>
      </c>
      <c r="F225" s="4" t="n">
        <v>10185.03125</v>
      </c>
      <c r="G225" s="3">
        <f>IF(OR(E225="",F225=""),"",E225+F225)</f>
        <v/>
      </c>
      <c r="H225" s="3" t="n">
        <v>39239.1311875</v>
      </c>
      <c r="I225" s="3" t="n">
        <v>98097.82796874999</v>
      </c>
      <c r="J225" s="3" t="n">
        <v>139900</v>
      </c>
      <c r="K225" s="3" t="n">
        <v>64659.66386554623</v>
      </c>
      <c r="L225" s="5" t="n">
        <v>0.4900366341217754</v>
      </c>
      <c r="M225" s="3" t="n">
        <v>82294.11764705883</v>
      </c>
      <c r="N225" s="5" t="n">
        <v>0.5993144982385378</v>
      </c>
      <c r="O225" s="3" t="n">
        <v>136841.04</v>
      </c>
      <c r="P225" s="5" t="n">
        <v>0.7590338408606908</v>
      </c>
      <c r="Q225" s="3" t="n">
        <v>95760</v>
      </c>
      <c r="R225" s="5" t="n">
        <v>0.6556593585899272</v>
      </c>
      <c r="S225" s="3" t="n">
        <v>93.60000000000001</v>
      </c>
      <c r="T225" s="5" t="n">
        <v>0.9072929042357497</v>
      </c>
      <c r="U225" s="6" t="n"/>
    </row>
    <row r="226">
      <c r="A226" s="2" t="inlineStr">
        <is>
          <t>LA EMPERATRIZ</t>
        </is>
      </c>
      <c r="B226" s="2" t="inlineStr">
        <is>
          <t>SOL Y LUNA TOWEL</t>
        </is>
      </c>
      <c r="C226" s="2" t="inlineStr">
        <is>
          <t>27TO27/SOLN</t>
        </is>
      </c>
      <c r="D226" s="2" t="n">
        <v>8000</v>
      </c>
      <c r="E226" s="3" t="n">
        <v>30842</v>
      </c>
      <c r="F226" s="4" t="n">
        <v>10185.03125</v>
      </c>
      <c r="G226" s="3">
        <f>IF(OR(E226="",F226=""),"",E226+F226)</f>
        <v/>
      </c>
      <c r="H226" s="3" t="n">
        <v>48822.1671875</v>
      </c>
      <c r="I226" s="3" t="n">
        <v>122055.41796875</v>
      </c>
      <c r="J226" s="3" t="n">
        <v>89900</v>
      </c>
      <c r="K226" s="3" t="n">
        <v>41550.42016806723</v>
      </c>
      <c r="L226" s="5" t="n">
        <v>0.01259647714632437</v>
      </c>
      <c r="M226" s="3" t="n">
        <v>52882.35294117647</v>
      </c>
      <c r="N226" s="5" t="n">
        <v>0.2241829463292547</v>
      </c>
      <c r="O226" s="3" t="n">
        <v>106431.92</v>
      </c>
      <c r="P226" s="5" t="n">
        <v>0.6145232440606163</v>
      </c>
      <c r="Q226" s="3" t="n">
        <v>74479.99999999999</v>
      </c>
      <c r="R226" s="5" t="n">
        <v>0.4491537157626208</v>
      </c>
      <c r="S226" s="3" t="n">
        <v>72.8</v>
      </c>
      <c r="T226" s="5" t="n">
        <v>0.8516952311668594</v>
      </c>
      <c r="U226" s="6" t="n"/>
    </row>
    <row r="227">
      <c r="A227" s="2" t="inlineStr">
        <is>
          <t>LA EMPERATRIZ</t>
        </is>
      </c>
      <c r="B227" s="2" t="inlineStr">
        <is>
          <t>SOL Y LUNA T-SHIRT</t>
        </is>
      </c>
      <c r="C227" s="2" t="inlineStr">
        <is>
          <t>27TSH20/SOLN</t>
        </is>
      </c>
      <c r="D227" s="2" t="n">
        <v>8000</v>
      </c>
      <c r="E227" s="3" t="n">
        <v>35411.6</v>
      </c>
      <c r="F227" s="4" t="n">
        <v>10185.03125</v>
      </c>
      <c r="G227" s="3">
        <f>IF(OR(E227="",F227=""),"",E227+F227)</f>
        <v/>
      </c>
      <c r="H227" s="3" t="n">
        <v>54259.9911875</v>
      </c>
      <c r="I227" s="3" t="n">
        <v>135649.97796875</v>
      </c>
      <c r="J227" s="3" t="n">
        <v>129900</v>
      </c>
      <c r="K227" s="3" t="n">
        <v>60037.81512605043</v>
      </c>
      <c r="L227" s="5" t="n">
        <v>0.2405348003709148</v>
      </c>
      <c r="M227" s="3" t="n">
        <v>76411.76470588235</v>
      </c>
      <c r="N227" s="5" t="n">
        <v>0.4032773431485758</v>
      </c>
      <c r="O227" s="3" t="n">
        <v>129238.76</v>
      </c>
      <c r="P227" s="5" t="n">
        <v>0.6471907402237532</v>
      </c>
      <c r="Q227" s="3" t="n">
        <v>90439.99999999999</v>
      </c>
      <c r="R227" s="5" t="n">
        <v>0.4958355677797434</v>
      </c>
      <c r="S227" s="3" t="n">
        <v>88.40000000000001</v>
      </c>
      <c r="T227" s="5" t="n">
        <v>0.8642634220945464</v>
      </c>
      <c r="U227" s="6" t="n"/>
    </row>
    <row r="228">
      <c r="A228" s="2" t="inlineStr">
        <is>
          <t>LA EMPERATRIZ</t>
        </is>
      </c>
      <c r="B228" s="2" t="inlineStr">
        <is>
          <t>LUNA T-SHIRT</t>
        </is>
      </c>
      <c r="C228" s="2" t="inlineStr">
        <is>
          <t>27TSH20/LUN</t>
        </is>
      </c>
      <c r="D228" s="2" t="n">
        <v>8000</v>
      </c>
      <c r="E228" s="3" t="n">
        <v>35411.6</v>
      </c>
      <c r="F228" s="4" t="n">
        <v>10185.03125</v>
      </c>
      <c r="G228" s="3">
        <f>IF(OR(E228="",F228=""),"",E228+F228)</f>
        <v/>
      </c>
      <c r="H228" s="3" t="n">
        <v>54259.9911875</v>
      </c>
      <c r="I228" s="3" t="n">
        <v>135649.97796875</v>
      </c>
      <c r="J228" s="3" t="n">
        <v>129900</v>
      </c>
      <c r="K228" s="3" t="n">
        <v>60037.81512605043</v>
      </c>
      <c r="L228" s="5" t="n">
        <v>0.2405348003709148</v>
      </c>
      <c r="M228" s="3" t="n">
        <v>76411.76470588235</v>
      </c>
      <c r="N228" s="5" t="n">
        <v>0.4032773431485758</v>
      </c>
      <c r="O228" s="3" t="n">
        <v>129238.76</v>
      </c>
      <c r="P228" s="5" t="n">
        <v>0.6471907402237532</v>
      </c>
      <c r="Q228" s="3" t="n">
        <v>90439.99999999999</v>
      </c>
      <c r="R228" s="5" t="n">
        <v>0.4958355677797434</v>
      </c>
      <c r="S228" s="3" t="n">
        <v>88.40000000000001</v>
      </c>
      <c r="T228" s="5" t="n">
        <v>0.8642634220945464</v>
      </c>
      <c r="U228" s="6" t="n"/>
    </row>
    <row r="229">
      <c r="A229" s="2" t="inlineStr">
        <is>
          <t>LA EMPERATRIZ</t>
        </is>
      </c>
      <c r="B229" s="2" t="inlineStr">
        <is>
          <t>SOL Y LUNA SHIRT</t>
        </is>
      </c>
      <c r="C229" s="2" t="inlineStr">
        <is>
          <t>27CA21/SOLN</t>
        </is>
      </c>
      <c r="D229" s="2" t="n">
        <v>8000</v>
      </c>
      <c r="E229" s="3" t="n">
        <v>47099</v>
      </c>
      <c r="F229" s="4" t="n">
        <v>10185.03125</v>
      </c>
      <c r="G229" s="3">
        <f>IF(OR(E229="",F229=""),"",E229+F229)</f>
        <v/>
      </c>
      <c r="H229" s="3" t="n">
        <v>68167.99718749999</v>
      </c>
      <c r="I229" s="3" t="n">
        <v>170419.99296875</v>
      </c>
      <c r="J229" s="3" t="n">
        <v>169000</v>
      </c>
      <c r="K229" s="3" t="n">
        <v>78109.24369747899</v>
      </c>
      <c r="L229" s="5" t="n">
        <v>0.2666164907208176</v>
      </c>
      <c r="M229" s="3" t="n">
        <v>99411.76470588235</v>
      </c>
      <c r="N229" s="5" t="n">
        <v>0.423770099852071</v>
      </c>
      <c r="O229" s="3" t="n">
        <v>174852.44</v>
      </c>
      <c r="P229" s="5" t="n">
        <v>0.6723864348132631</v>
      </c>
      <c r="Q229" s="3" t="n">
        <v>122360</v>
      </c>
      <c r="R229" s="5" t="n">
        <v>0.531840215348153</v>
      </c>
      <c r="S229" s="3" t="n">
        <v>119.6</v>
      </c>
      <c r="T229" s="5" t="n">
        <v>0.873956981055272</v>
      </c>
      <c r="U229" s="6" t="n"/>
    </row>
    <row r="230">
      <c r="A230" s="2" t="inlineStr">
        <is>
          <t>LA EMPERATRIZ</t>
        </is>
      </c>
      <c r="B230" s="2" t="inlineStr">
        <is>
          <t>SOL Y LUNA WRAP SKORT</t>
        </is>
      </c>
      <c r="C230" s="2" t="inlineStr">
        <is>
          <t>27FA25/SOLN</t>
        </is>
      </c>
      <c r="D230" s="2" t="n">
        <v>8000</v>
      </c>
      <c r="E230" s="3" t="n">
        <v>36274</v>
      </c>
      <c r="F230" s="4" t="n">
        <v>10185.03125</v>
      </c>
      <c r="G230" s="3">
        <f>IF(OR(E230="",F230=""),"",E230+F230)</f>
        <v/>
      </c>
      <c r="H230" s="3" t="n">
        <v>55286.2471875</v>
      </c>
      <c r="I230" s="3" t="n">
        <v>138215.61796875</v>
      </c>
      <c r="J230" s="3" t="n">
        <v>139900</v>
      </c>
      <c r="K230" s="3" t="n">
        <v>64659.66386554623</v>
      </c>
      <c r="L230" s="5" t="n">
        <v>0.2814835637468323</v>
      </c>
      <c r="M230" s="3" t="n">
        <v>82294.11764705883</v>
      </c>
      <c r="N230" s="5" t="n">
        <v>0.4354513715153681</v>
      </c>
      <c r="O230" s="3" t="n">
        <v>167250.16</v>
      </c>
      <c r="P230" s="5" t="n">
        <v>0.7222183150676806</v>
      </c>
      <c r="Q230" s="3" t="n">
        <v>117040</v>
      </c>
      <c r="R230" s="5" t="n">
        <v>0.6030499722317156</v>
      </c>
      <c r="S230" s="3" t="n">
        <v>114.4</v>
      </c>
      <c r="T230" s="5" t="n">
        <v>0.8931288386777696</v>
      </c>
      <c r="U230" s="6" t="n"/>
    </row>
    <row r="231">
      <c r="A231" s="2" t="inlineStr">
        <is>
          <t>LA EMPERATRIZ</t>
        </is>
      </c>
      <c r="B231" s="2" t="inlineStr">
        <is>
          <t>SOL Y LUNA MESH LONG DRESS</t>
        </is>
      </c>
      <c r="C231" s="2" t="inlineStr">
        <is>
          <t>27VE36/SOLN</t>
        </is>
      </c>
      <c r="D231" s="2" t="n">
        <v>8000</v>
      </c>
      <c r="E231" s="3" t="n">
        <v>49635.625</v>
      </c>
      <c r="F231" s="4" t="n">
        <v>10185.03125</v>
      </c>
      <c r="G231" s="3">
        <f>IF(OR(E231="",F231=""),"",E231+F231)</f>
        <v/>
      </c>
      <c r="H231" s="3" t="n">
        <v>71186.5809375</v>
      </c>
      <c r="I231" s="3" t="n">
        <v>177966.45234375</v>
      </c>
      <c r="J231" s="3" t="n">
        <v>169900</v>
      </c>
      <c r="K231" s="3" t="n">
        <v>78525.21008403362</v>
      </c>
      <c r="L231" s="5" t="n">
        <v>0.2381980744020548</v>
      </c>
      <c r="M231" s="3" t="n">
        <v>99941.17647058824</v>
      </c>
      <c r="N231" s="5" t="n">
        <v>0.401441344173043</v>
      </c>
      <c r="O231" s="3" t="n">
        <v>182454.72</v>
      </c>
      <c r="P231" s="5" t="n">
        <v>0.6721342355517028</v>
      </c>
      <c r="Q231" s="3" t="n">
        <v>127680</v>
      </c>
      <c r="R231" s="5" t="n">
        <v>0.5314798226033834</v>
      </c>
      <c r="S231" s="3" t="n">
        <v>124.8</v>
      </c>
      <c r="T231" s="5" t="n">
        <v>0.8738599522393725</v>
      </c>
      <c r="U231" s="6" t="n"/>
    </row>
    <row r="232">
      <c r="A232" s="2" t="inlineStr">
        <is>
          <t>LA EMPERATRIZ</t>
        </is>
      </c>
      <c r="B232" s="2" t="inlineStr">
        <is>
          <t>SOL Y LUNA MESH DRESS</t>
        </is>
      </c>
      <c r="C232" s="2" t="inlineStr">
        <is>
          <t>27VE32/SOLN</t>
        </is>
      </c>
      <c r="D232" s="2" t="n">
        <v>8000</v>
      </c>
      <c r="E232" s="3" t="n">
        <v>51220.07</v>
      </c>
      <c r="F232" s="4" t="n">
        <v>10185.03125</v>
      </c>
      <c r="G232" s="3">
        <f>IF(OR(E232="",F232=""),"",E232+F232)</f>
        <v/>
      </c>
      <c r="H232" s="3" t="n">
        <v>73072.07048749999</v>
      </c>
      <c r="I232" s="3" t="n">
        <v>182680.17621875</v>
      </c>
      <c r="J232" s="3" t="n">
        <v>169900</v>
      </c>
      <c r="K232" s="3" t="n">
        <v>78525.21008403362</v>
      </c>
      <c r="L232" s="5" t="n">
        <v>0.2180205416287657</v>
      </c>
      <c r="M232" s="3" t="n">
        <v>99941.17647058824</v>
      </c>
      <c r="N232" s="5" t="n">
        <v>0.3855875684226016</v>
      </c>
      <c r="O232" s="3" t="n">
        <v>182454.72</v>
      </c>
      <c r="P232" s="5" t="n">
        <v>0.6634501905459063</v>
      </c>
      <c r="Q232" s="3" t="n">
        <v>127680</v>
      </c>
      <c r="R232" s="5" t="n">
        <v>0.5190703222901003</v>
      </c>
      <c r="S232" s="3" t="n">
        <v>124.8</v>
      </c>
      <c r="T232" s="5" t="n">
        <v>0.8705189329242577</v>
      </c>
      <c r="U232" s="6" t="n"/>
    </row>
    <row r="233">
      <c r="A233" s="2" t="inlineStr">
        <is>
          <t>LA EMPERATRIZ</t>
        </is>
      </c>
      <c r="B233" s="2" t="inlineStr">
        <is>
          <t>SOL Y LUNA MESH SHIRT</t>
        </is>
      </c>
      <c r="C233" s="2" t="inlineStr">
        <is>
          <t>27CA36/SOLN</t>
        </is>
      </c>
      <c r="D233" s="2" t="n">
        <v>8000</v>
      </c>
      <c r="E233" s="3" t="n">
        <v>30229.34408602151</v>
      </c>
      <c r="F233" s="4" t="n">
        <v>10185.03125</v>
      </c>
      <c r="G233" s="3">
        <f>IF(OR(E233="",F233=""),"",E233+F233)</f>
        <v/>
      </c>
      <c r="H233" s="3" t="n">
        <v>48093.10664986559</v>
      </c>
      <c r="I233" s="3" t="n">
        <v>120232.766624664</v>
      </c>
      <c r="J233" s="3" t="n">
        <v>129900</v>
      </c>
      <c r="K233" s="3" t="n">
        <v>60037.81512605043</v>
      </c>
      <c r="L233" s="5" t="n">
        <v>0.3268513310957298</v>
      </c>
      <c r="M233" s="3" t="n">
        <v>76411.76470588235</v>
      </c>
      <c r="N233" s="5" t="n">
        <v>0.4710974744323591</v>
      </c>
      <c r="O233" s="3" t="n">
        <v>144443.32</v>
      </c>
      <c r="P233" s="5" t="n">
        <v>0.7202059926618862</v>
      </c>
      <c r="Q233" s="3" t="n">
        <v>101080</v>
      </c>
      <c r="R233" s="5" t="n">
        <v>0.6001743635138355</v>
      </c>
      <c r="S233" s="3" t="n">
        <v>98.8</v>
      </c>
      <c r="T233" s="5" t="n">
        <v>0.8923546363306479</v>
      </c>
      <c r="U233" s="6" t="n"/>
    </row>
    <row r="234">
      <c r="A234" s="2" t="inlineStr">
        <is>
          <t>LA EMPERATRIZ</t>
        </is>
      </c>
      <c r="B234" s="2" t="inlineStr">
        <is>
          <t>SOL Y LUNA MESH LONG SHIRT</t>
        </is>
      </c>
      <c r="C234" s="2" t="inlineStr">
        <is>
          <t>27CA32/SOLN</t>
        </is>
      </c>
      <c r="D234" s="2" t="n">
        <v>8000</v>
      </c>
      <c r="E234" s="3" t="n">
        <v>26982</v>
      </c>
      <c r="F234" s="4" t="n">
        <v>10185.03125</v>
      </c>
      <c r="G234" s="3">
        <f>IF(OR(E234="",F234=""),"",E234+F234)</f>
        <v/>
      </c>
      <c r="H234" s="3" t="n">
        <v>44228.7671875</v>
      </c>
      <c r="I234" s="3" t="n">
        <v>110571.91796875</v>
      </c>
      <c r="J234" s="3" t="n">
        <v>119900</v>
      </c>
      <c r="K234" s="3" t="n">
        <v>55415.96638655462</v>
      </c>
      <c r="L234" s="5" t="n">
        <v>0.3293082540374555</v>
      </c>
      <c r="M234" s="3" t="n">
        <v>70529.41176470587</v>
      </c>
      <c r="N234" s="5" t="n">
        <v>0.4730279138865721</v>
      </c>
      <c r="O234" s="3" t="n">
        <v>114034.2</v>
      </c>
      <c r="P234" s="5" t="n">
        <v>0.6740711887310999</v>
      </c>
      <c r="Q234" s="3" t="n">
        <v>79800</v>
      </c>
      <c r="R234" s="5" t="n">
        <v>0.5342477286967419</v>
      </c>
      <c r="S234" s="3" t="n">
        <v>78</v>
      </c>
      <c r="T234" s="5" t="n">
        <v>0.8746051577260459</v>
      </c>
      <c r="U234" s="6" t="n"/>
    </row>
    <row r="235">
      <c r="A235" s="2" t="inlineStr">
        <is>
          <t>LA EMPERATRIZ</t>
        </is>
      </c>
      <c r="B235" s="2" t="inlineStr">
        <is>
          <t>SOL Y LUNA SLEEP SLEEVELESS SHIRT</t>
        </is>
      </c>
      <c r="C235" s="2" t="inlineStr">
        <is>
          <t>274124/SOLN</t>
        </is>
      </c>
      <c r="D235" s="2" t="n">
        <v>8000</v>
      </c>
      <c r="E235" s="3" t="n">
        <v>18336.66</v>
      </c>
      <c r="F235" s="4" t="n">
        <v>10185.03125</v>
      </c>
      <c r="G235" s="3">
        <f>IF(OR(E235="",F235=""),"",E235+F235)</f>
        <v/>
      </c>
      <c r="H235" s="3" t="n">
        <v>33940.8125875</v>
      </c>
      <c r="I235" s="3" t="n">
        <v>84852.03146874999</v>
      </c>
      <c r="J235" s="3" t="n">
        <v>79950</v>
      </c>
      <c r="K235" s="3" t="n">
        <v>36951.68067226891</v>
      </c>
      <c r="L235" s="5" t="n">
        <v>0.2281354804138952</v>
      </c>
      <c r="M235" s="3" t="n">
        <v>47029.41176470588</v>
      </c>
      <c r="N235" s="5" t="n">
        <v>0.3935350203252032</v>
      </c>
      <c r="O235" s="3" t="n">
        <v>49414.82</v>
      </c>
      <c r="P235" s="5" t="n">
        <v>0.4228109856516729</v>
      </c>
      <c r="Q235" s="3" t="n">
        <v>34580</v>
      </c>
      <c r="R235" s="5" t="n">
        <v>0.1751968984962406</v>
      </c>
      <c r="S235" s="3" t="n">
        <v>33.8</v>
      </c>
      <c r="T235" s="5" t="n">
        <v>0.7779376265182186</v>
      </c>
      <c r="U235" s="6" t="n"/>
    </row>
    <row r="236">
      <c r="A236" s="2" t="inlineStr">
        <is>
          <t>LA EMPERATRIZ</t>
        </is>
      </c>
      <c r="B236" s="2" t="inlineStr">
        <is>
          <t>SOL Y LUNA SLEEP SHORT</t>
        </is>
      </c>
      <c r="C236" s="2" t="inlineStr">
        <is>
          <t>274222/SOLN</t>
        </is>
      </c>
      <c r="D236" s="2" t="n">
        <v>8000</v>
      </c>
      <c r="E236" s="3" t="n">
        <v>18737.81</v>
      </c>
      <c r="F236" s="4" t="n">
        <v>10185.03125</v>
      </c>
      <c r="G236" s="3">
        <f>IF(OR(E236="",F236=""),"",E236+F236)</f>
        <v/>
      </c>
      <c r="H236" s="3" t="n">
        <v>34418.1810875</v>
      </c>
      <c r="I236" s="3" t="n">
        <v>86045.45271874999</v>
      </c>
      <c r="J236" s="3" t="n">
        <v>99950</v>
      </c>
      <c r="K236" s="3" t="n">
        <v>46195.37815126051</v>
      </c>
      <c r="L236" s="5" t="n">
        <v>0.373901840238301</v>
      </c>
      <c r="M236" s="3" t="n">
        <v>58794.11764705882</v>
      </c>
      <c r="N236" s="5" t="n">
        <v>0.5080657316158078</v>
      </c>
      <c r="O236" s="3" t="n">
        <v>49414.82</v>
      </c>
      <c r="P236" s="5" t="n">
        <v>0.4146929757105257</v>
      </c>
      <c r="Q236" s="3" t="n">
        <v>34580</v>
      </c>
      <c r="R236" s="5" t="n">
        <v>0.1635962622903412</v>
      </c>
      <c r="S236" s="3" t="n">
        <v>33.8</v>
      </c>
      <c r="T236" s="5" t="n">
        <v>0.7748143783089381</v>
      </c>
      <c r="U236" s="6" t="n"/>
    </row>
    <row r="237">
      <c r="A237" s="2" t="inlineStr">
        <is>
          <t>LA EMPERATRIZ</t>
        </is>
      </c>
      <c r="B237" s="2" t="inlineStr">
        <is>
          <t>SOL Y LUNA SLEEP LONG SHIRT</t>
        </is>
      </c>
      <c r="C237" s="2" t="inlineStr">
        <is>
          <t>274121/SOLN</t>
        </is>
      </c>
      <c r="D237" s="2" t="n">
        <v>8000</v>
      </c>
      <c r="E237" s="3" t="n">
        <v>32611.31</v>
      </c>
      <c r="F237" s="4" t="n">
        <v>10185.03125</v>
      </c>
      <c r="G237" s="3">
        <f>IF(OR(E237="",F237=""),"",E237+F237)</f>
        <v/>
      </c>
      <c r="H237" s="3" t="n">
        <v>50927.6460875</v>
      </c>
      <c r="I237" s="3" t="n">
        <v>127319.11521875</v>
      </c>
      <c r="J237" s="3" t="n">
        <v>99950</v>
      </c>
      <c r="K237" s="3" t="n">
        <v>46195.37815126051</v>
      </c>
      <c r="L237" s="5" t="n">
        <v>0.07357958820319273</v>
      </c>
      <c r="M237" s="3" t="n">
        <v>58794.11764705882</v>
      </c>
      <c r="N237" s="5" t="n">
        <v>0.2720982478739369</v>
      </c>
      <c r="O237" s="3" t="n">
        <v>64619.37999999999</v>
      </c>
      <c r="P237" s="5" t="n">
        <v>0.3377166223198055</v>
      </c>
      <c r="Q237" s="3" t="n">
        <v>45219.99999999999</v>
      </c>
      <c r="R237" s="5" t="n">
        <v>0.05359705329500211</v>
      </c>
      <c r="S237" s="3" t="n">
        <v>44.2</v>
      </c>
      <c r="T237" s="5" t="n">
        <v>0.7451992066563468</v>
      </c>
      <c r="U237" s="6" t="n"/>
    </row>
    <row r="238">
      <c r="A238" s="2" t="inlineStr">
        <is>
          <t>LA EMPERATRIZ</t>
        </is>
      </c>
      <c r="B238" s="2" t="inlineStr">
        <is>
          <t>SOL Y LUNA SLEEP PANTS</t>
        </is>
      </c>
      <c r="C238" s="2" t="inlineStr">
        <is>
          <t>274323/SOLN</t>
        </is>
      </c>
      <c r="D238" s="2" t="n">
        <v>8000</v>
      </c>
      <c r="E238" s="3" t="n">
        <v>28786.53</v>
      </c>
      <c r="F238" s="4" t="n">
        <v>10185.03125</v>
      </c>
      <c r="G238" s="3">
        <f>IF(OR(E238="",F238=""),"",E238+F238)</f>
        <v/>
      </c>
      <c r="H238" s="3" t="n">
        <v>46376.1578875</v>
      </c>
      <c r="I238" s="3" t="n">
        <v>115940.39471875</v>
      </c>
      <c r="J238" s="3" t="n">
        <v>99950</v>
      </c>
      <c r="K238" s="3" t="n">
        <v>46195.37815126051</v>
      </c>
      <c r="L238" s="5" t="n">
        <v>0.1563753169766703</v>
      </c>
      <c r="M238" s="3" t="n">
        <v>58794.11764705882</v>
      </c>
      <c r="N238" s="5" t="n">
        <v>0.3371520347673836</v>
      </c>
      <c r="O238" s="3" t="n">
        <v>57017.1</v>
      </c>
      <c r="P238" s="5" t="n">
        <v>0.3164934510874808</v>
      </c>
      <c r="Q238" s="3" t="n">
        <v>39900</v>
      </c>
      <c r="R238" s="5" t="n">
        <v>0.02326914160401005</v>
      </c>
      <c r="S238" s="3" t="n">
        <v>39</v>
      </c>
      <c r="T238" s="5" t="n">
        <v>0.7370339996626181</v>
      </c>
      <c r="U238" s="6" t="n"/>
    </row>
    <row r="239">
      <c r="A239" s="2" t="inlineStr">
        <is>
          <t>LA EMPERATRIZ</t>
        </is>
      </c>
      <c r="B239" s="2" t="inlineStr">
        <is>
          <t>SOL Y LUNA SLEEP SHORT SLEEVELESS SHIRT</t>
        </is>
      </c>
      <c r="C239" s="2" t="inlineStr">
        <is>
          <t>274125/SOLN</t>
        </is>
      </c>
      <c r="D239" s="2" t="n">
        <v>8000</v>
      </c>
      <c r="E239" s="3" t="n">
        <v>21807.84375</v>
      </c>
      <c r="F239" s="4" t="n">
        <v>10185.03125</v>
      </c>
      <c r="G239" s="3">
        <f>IF(OR(E239="",F239=""),"",E239+F239)</f>
        <v/>
      </c>
      <c r="H239" s="3" t="n">
        <v>38071.52125</v>
      </c>
      <c r="I239" s="3" t="n">
        <v>95178.80312499999</v>
      </c>
      <c r="J239" s="3" t="n">
        <v>89950</v>
      </c>
      <c r="K239" s="3" t="n">
        <v>41573.52941176471</v>
      </c>
      <c r="L239" s="5" t="n">
        <v>0.2304508312698976</v>
      </c>
      <c r="M239" s="3" t="n">
        <v>52911.76470588235</v>
      </c>
      <c r="N239" s="5" t="n">
        <v>0.395354224569205</v>
      </c>
      <c r="O239" s="3" t="n">
        <v>53215.95999999999</v>
      </c>
      <c r="P239" s="5" t="n">
        <v>0.3988105260151277</v>
      </c>
      <c r="Q239" s="3" t="n">
        <v>37239.99999999999</v>
      </c>
      <c r="R239" s="5" t="n">
        <v>0.1409002416756175</v>
      </c>
      <c r="S239" s="3" t="n">
        <v>36.4</v>
      </c>
      <c r="T239" s="5" t="n">
        <v>0.7687039112203586</v>
      </c>
      <c r="U239" s="6" t="n"/>
    </row>
    <row r="240">
      <c r="A240" s="2" t="inlineStr">
        <is>
          <t>LA EMPERATRIZ</t>
        </is>
      </c>
      <c r="B240" s="2" t="inlineStr">
        <is>
          <t>I'M IVORY RING BANDEAU TOP</t>
        </is>
      </c>
      <c r="C240" s="2" t="inlineStr">
        <is>
          <t>273141/IVRY</t>
        </is>
      </c>
      <c r="D240" s="2" t="n">
        <v>8000</v>
      </c>
      <c r="E240" s="3" t="n">
        <v>43790</v>
      </c>
      <c r="F240" s="4" t="n">
        <v>10185.03125</v>
      </c>
      <c r="G240" s="3">
        <f>IF(OR(E240="",F240=""),"",E240+F240)</f>
        <v/>
      </c>
      <c r="H240" s="3" t="n">
        <v>64230.2871875</v>
      </c>
      <c r="I240" s="3" t="n">
        <v>160575.71796875</v>
      </c>
      <c r="J240" s="3" t="n">
        <v>139900</v>
      </c>
      <c r="K240" s="3" t="n">
        <v>64659.66386554623</v>
      </c>
      <c r="L240" s="5" t="n">
        <v>0.1652441719734877</v>
      </c>
      <c r="M240" s="3" t="n">
        <v>82294.11764705883</v>
      </c>
      <c r="N240" s="5" t="n">
        <v>0.3441204208363117</v>
      </c>
      <c r="O240" s="3" t="n">
        <v>133039.9</v>
      </c>
      <c r="P240" s="5" t="n">
        <v>0.5942944090457073</v>
      </c>
      <c r="Q240" s="3" t="n">
        <v>93100</v>
      </c>
      <c r="R240" s="5" t="n">
        <v>0.4202467105263158</v>
      </c>
      <c r="S240" s="3" t="n">
        <v>91</v>
      </c>
      <c r="T240" s="5" t="n">
        <v>0.8439125759109312</v>
      </c>
      <c r="U240" s="6" t="n"/>
    </row>
    <row r="241">
      <c r="A241" s="2" t="inlineStr">
        <is>
          <t>LA EMPERATRIZ</t>
        </is>
      </c>
      <c r="B241" s="2" t="inlineStr">
        <is>
          <t>I'M IVORY HIGH WAIST BOTTOM</t>
        </is>
      </c>
      <c r="C241" s="2" t="inlineStr">
        <is>
          <t>273223/IVRY</t>
        </is>
      </c>
      <c r="D241" s="2" t="n">
        <v>8000</v>
      </c>
      <c r="E241" s="3" t="n">
        <v>24960.90620689655</v>
      </c>
      <c r="F241" s="4" t="n">
        <v>10185.03125</v>
      </c>
      <c r="G241" s="3">
        <f>IF(OR(E241="",F241=""),"",E241+F241)</f>
        <v/>
      </c>
      <c r="H241" s="3" t="n">
        <v>41823.66557370689</v>
      </c>
      <c r="I241" s="3" t="n">
        <v>104559.1639342672</v>
      </c>
      <c r="J241" s="3" t="n">
        <v>109900</v>
      </c>
      <c r="K241" s="3" t="n">
        <v>50794.11764705883</v>
      </c>
      <c r="L241" s="5" t="n">
        <v>0.3080707159615039</v>
      </c>
      <c r="M241" s="3" t="n">
        <v>64647.05882352941</v>
      </c>
      <c r="N241" s="5" t="n">
        <v>0.4563412768268959</v>
      </c>
      <c r="O241" s="3" t="n">
        <v>98829.64</v>
      </c>
      <c r="P241" s="5" t="n">
        <v>0.6443785745157369</v>
      </c>
      <c r="Q241" s="3" t="n">
        <v>69160</v>
      </c>
      <c r="R241" s="5" t="n">
        <v>0.491816982982988</v>
      </c>
      <c r="S241" s="3" t="n">
        <v>67.60000000000001</v>
      </c>
      <c r="T241" s="5" t="n">
        <v>0.8631814954184968</v>
      </c>
      <c r="U241" s="6" t="n"/>
    </row>
    <row r="242">
      <c r="A242" s="2" t="inlineStr">
        <is>
          <t>LA EMPERATRIZ</t>
        </is>
      </c>
      <c r="B242" s="2" t="inlineStr">
        <is>
          <t>I'M IVORY RING ONE SHOULDER ONE PIECE</t>
        </is>
      </c>
      <c r="C242" s="2" t="inlineStr">
        <is>
          <t>273374/IVRY</t>
        </is>
      </c>
      <c r="D242" s="2" t="n">
        <v>8000</v>
      </c>
      <c r="E242" s="3" t="n">
        <v>43072.76198630137</v>
      </c>
      <c r="F242" s="4" t="n">
        <v>10185.03125</v>
      </c>
      <c r="G242" s="3">
        <f>IF(OR(E242="",F242=""),"",E242+F242)</f>
        <v/>
      </c>
      <c r="H242" s="3" t="n">
        <v>63376.77395119862</v>
      </c>
      <c r="I242" s="3" t="n">
        <v>158441.9348779965</v>
      </c>
      <c r="J242" s="3" t="n">
        <v>199900</v>
      </c>
      <c r="K242" s="3" t="n">
        <v>92390.75630252103</v>
      </c>
      <c r="L242" s="5" t="n">
        <v>0.4235592891791476</v>
      </c>
      <c r="M242" s="3" t="n">
        <v>117588.2352941176</v>
      </c>
      <c r="N242" s="5" t="n">
        <v>0.5470822986407587</v>
      </c>
      <c r="O242" s="3" t="n">
        <v>209062.7</v>
      </c>
      <c r="P242" s="5" t="n">
        <v>0.7452544464588787</v>
      </c>
      <c r="Q242" s="3" t="n">
        <v>146300</v>
      </c>
      <c r="R242" s="5" t="n">
        <v>0.6359686039897378</v>
      </c>
      <c r="S242" s="3" t="n">
        <v>143</v>
      </c>
      <c r="T242" s="5" t="n">
        <v>0.9019915472280062</v>
      </c>
      <c r="U242" s="6" t="n"/>
    </row>
    <row r="243">
      <c r="A243" s="2" t="inlineStr">
        <is>
          <t>LA EMPERATRIZ</t>
        </is>
      </c>
      <c r="B243" s="2" t="inlineStr">
        <is>
          <t>I'M IVORY MACRAME KNIT DRESS</t>
        </is>
      </c>
      <c r="C243" s="2" t="inlineStr">
        <is>
          <t>27VE32/IVRY</t>
        </is>
      </c>
      <c r="D243" s="2" t="n">
        <v>8000</v>
      </c>
      <c r="E243" s="3" t="n">
        <v>59360</v>
      </c>
      <c r="F243" s="4" t="n">
        <v>10185.03125</v>
      </c>
      <c r="G243" s="3">
        <f>IF(OR(E243="",F243=""),"",E243+F243)</f>
        <v/>
      </c>
      <c r="H243" s="3" t="n">
        <v>82758.5871875</v>
      </c>
      <c r="I243" s="3" t="n">
        <v>206896.46796875</v>
      </c>
      <c r="J243" s="3" t="n">
        <v>219900</v>
      </c>
      <c r="K243" s="3" t="n">
        <v>101634.4537815126</v>
      </c>
      <c r="L243" s="5" t="n">
        <v>0.315733703852991</v>
      </c>
      <c r="M243" s="3" t="n">
        <v>129352.9411764706</v>
      </c>
      <c r="N243" s="5" t="n">
        <v>0.462362195884493</v>
      </c>
      <c r="O243" s="3" t="n">
        <v>228068.4</v>
      </c>
      <c r="P243" s="5" t="n">
        <v>0.695069412290348</v>
      </c>
      <c r="Q243" s="3" t="n">
        <v>159600</v>
      </c>
      <c r="R243" s="5" t="n">
        <v>0.5642541901629072</v>
      </c>
      <c r="S243" s="3" t="n">
        <v>156</v>
      </c>
      <c r="T243" s="5" t="n">
        <v>0.882683820428475</v>
      </c>
      <c r="U243" s="6" t="n"/>
    </row>
    <row r="244">
      <c r="A244" s="2" t="inlineStr">
        <is>
          <t>LA EMPERATRIZ</t>
        </is>
      </c>
      <c r="B244" s="2" t="inlineStr">
        <is>
          <t>I'M IVORY MACRAME KNIT HALTER TOP</t>
        </is>
      </c>
      <c r="C244" s="2" t="inlineStr">
        <is>
          <t>27CA39/IVRY</t>
        </is>
      </c>
      <c r="D244" s="2" t="n">
        <v>8000</v>
      </c>
      <c r="E244" s="3" t="n">
        <v>25774</v>
      </c>
      <c r="F244" s="4" t="n">
        <v>10185.03125</v>
      </c>
      <c r="G244" s="3">
        <f>IF(OR(E244="",F244=""),"",E244+F244)</f>
        <v/>
      </c>
      <c r="H244" s="3" t="n">
        <v>42791.2471875</v>
      </c>
      <c r="I244" s="3" t="n">
        <v>106978.11796875</v>
      </c>
      <c r="J244" s="3" t="n">
        <v>119900</v>
      </c>
      <c r="K244" s="3" t="n">
        <v>55415.96638655462</v>
      </c>
      <c r="L244" s="5" t="n">
        <v>0.3511070257411479</v>
      </c>
      <c r="M244" s="3" t="n">
        <v>70529.41176470587</v>
      </c>
      <c r="N244" s="5" t="n">
        <v>0.4901555202251876</v>
      </c>
      <c r="O244" s="3" t="n">
        <v>121636.48</v>
      </c>
      <c r="P244" s="5" t="n">
        <v>0.7043729705923749</v>
      </c>
      <c r="Q244" s="3" t="n">
        <v>85120</v>
      </c>
      <c r="R244" s="5" t="n">
        <v>0.5775489749765037</v>
      </c>
      <c r="S244" s="3" t="n">
        <v>83.2</v>
      </c>
      <c r="T244" s="5" t="n">
        <v>0.8862631855705971</v>
      </c>
      <c r="U244" s="6" t="n"/>
    </row>
    <row r="245">
      <c r="A245" s="2" t="inlineStr">
        <is>
          <t>LA EMPERATRIZ</t>
        </is>
      </c>
      <c r="B245" s="2" t="inlineStr">
        <is>
          <t>I'M IVORY MACRAME KNIT LONG SKIRT</t>
        </is>
      </c>
      <c r="C245" s="2" t="inlineStr">
        <is>
          <t>27FA27/IVRY</t>
        </is>
      </c>
      <c r="D245" s="2" t="n">
        <v>8000</v>
      </c>
      <c r="E245" s="3" t="n">
        <v>45652</v>
      </c>
      <c r="F245" s="4" t="n">
        <v>10185.03125</v>
      </c>
      <c r="G245" s="3">
        <f>IF(OR(E245="",F245=""),"",E245+F245)</f>
        <v/>
      </c>
      <c r="H245" s="3" t="n">
        <v>66446.0671875</v>
      </c>
      <c r="I245" s="3" t="n">
        <v>166115.16796875</v>
      </c>
      <c r="J245" s="3" t="n">
        <v>159900</v>
      </c>
      <c r="K245" s="3" t="n">
        <v>73903.36134453783</v>
      </c>
      <c r="L245" s="5" t="n">
        <v>0.2444588414634148</v>
      </c>
      <c r="M245" s="3" t="n">
        <v>94058.82352941176</v>
      </c>
      <c r="N245" s="5" t="n">
        <v>0.4063605182926829</v>
      </c>
      <c r="O245" s="3" t="n">
        <v>190057</v>
      </c>
      <c r="P245" s="5" t="n">
        <v>0.7062090254502597</v>
      </c>
      <c r="Q245" s="3" t="n">
        <v>133000</v>
      </c>
      <c r="R245" s="5" t="n">
        <v>0.580172697368421</v>
      </c>
      <c r="S245" s="3" t="n">
        <v>130</v>
      </c>
      <c r="T245" s="5" t="n">
        <v>0.886969572368421</v>
      </c>
      <c r="U245" s="6" t="n"/>
    </row>
    <row r="246">
      <c r="A246" s="2" t="inlineStr">
        <is>
          <t>LA EMPERATRIZ</t>
        </is>
      </c>
      <c r="B246" s="2" t="inlineStr">
        <is>
          <t>I'M IVORY RUCHED MAXI SKIRT</t>
        </is>
      </c>
      <c r="C246" s="2" t="inlineStr">
        <is>
          <t>27FA30/IVRY</t>
        </is>
      </c>
      <c r="D246" s="2" t="n">
        <v>8000</v>
      </c>
      <c r="E246" s="3" t="n">
        <v>30325</v>
      </c>
      <c r="F246" s="4" t="n">
        <v>10185.03125</v>
      </c>
      <c r="G246" s="3">
        <f>IF(OR(E246="",F246=""),"",E246+F246)</f>
        <v/>
      </c>
      <c r="H246" s="3" t="n">
        <v>48206.9371875</v>
      </c>
      <c r="I246" s="3" t="n">
        <v>120517.34296875</v>
      </c>
      <c r="J246" s="3" t="n">
        <v>129900</v>
      </c>
      <c r="K246" s="3" t="n">
        <v>60037.81512605043</v>
      </c>
      <c r="L246" s="5" t="n">
        <v>0.3252580700188958</v>
      </c>
      <c r="M246" s="3" t="n">
        <v>76411.76470588235</v>
      </c>
      <c r="N246" s="5" t="n">
        <v>0.469845626443418</v>
      </c>
      <c r="O246" s="3" t="n">
        <v>144443.32</v>
      </c>
      <c r="P246" s="5" t="n">
        <v>0.7195437542559946</v>
      </c>
      <c r="Q246" s="3" t="n">
        <v>101080</v>
      </c>
      <c r="R246" s="5" t="n">
        <v>0.5992280248318164</v>
      </c>
      <c r="S246" s="3" t="n">
        <v>98.8</v>
      </c>
      <c r="T246" s="5" t="n">
        <v>0.8920998528393351</v>
      </c>
      <c r="U246" s="6" t="n"/>
    </row>
    <row r="247">
      <c r="A247" s="2" t="inlineStr">
        <is>
          <t>LA EMPERATRIZ</t>
        </is>
      </c>
      <c r="B247" s="2" t="inlineStr">
        <is>
          <t>I'M WHITE ESSENTIAL TOP</t>
        </is>
      </c>
      <c r="C247" s="2" t="inlineStr">
        <is>
          <t>275120/WHT</t>
        </is>
      </c>
      <c r="D247" s="2" t="n">
        <v>8000</v>
      </c>
      <c r="E247" s="3" t="n">
        <v>16457</v>
      </c>
      <c r="F247" s="4" t="n">
        <v>10185.03125</v>
      </c>
      <c r="G247" s="3">
        <f>IF(OR(E247="",F247=""),"",E247+F247)</f>
        <v/>
      </c>
      <c r="H247" s="3" t="n">
        <v>31704.0171875</v>
      </c>
      <c r="I247" s="3" t="n">
        <v>79260.04296875</v>
      </c>
      <c r="J247" s="3" t="n">
        <v>59900</v>
      </c>
      <c r="K247" s="3" t="n">
        <v>27684.87394957984</v>
      </c>
      <c r="L247" s="5" t="n">
        <v>0.03766832030657171</v>
      </c>
      <c r="M247" s="3" t="n">
        <v>35235.29411764706</v>
      </c>
      <c r="N247" s="5" t="n">
        <v>0.243882251669449</v>
      </c>
      <c r="O247" s="3" t="n">
        <v>57017.1</v>
      </c>
      <c r="P247" s="5" t="n">
        <v>0.5327361221458123</v>
      </c>
      <c r="Q247" s="3" t="n">
        <v>39900</v>
      </c>
      <c r="R247" s="5" t="n">
        <v>0.3322799185463659</v>
      </c>
      <c r="S247" s="3" t="n">
        <v>39</v>
      </c>
      <c r="T247" s="5" t="n">
        <v>0.8202292088394062</v>
      </c>
      <c r="U247" s="6" t="n"/>
    </row>
    <row r="248">
      <c r="A248" s="2" t="inlineStr">
        <is>
          <t>LA EMPERATRIZ</t>
        </is>
      </c>
      <c r="B248" s="2" t="inlineStr">
        <is>
          <t>EMPERATRIZ TRIANGLE TOP</t>
        </is>
      </c>
      <c r="C248" s="2" t="inlineStr">
        <is>
          <t>273135/EMPZ</t>
        </is>
      </c>
      <c r="D248" s="2" t="n">
        <v>8000</v>
      </c>
      <c r="E248" s="3" t="n">
        <v>30076</v>
      </c>
      <c r="F248" s="4" t="n">
        <v>10185.03125</v>
      </c>
      <c r="G248" s="3">
        <f>IF(OR(E248="",F248=""),"",E248+F248)</f>
        <v/>
      </c>
      <c r="H248" s="3" t="n">
        <v>47910.62718749999</v>
      </c>
      <c r="I248" s="3" t="n">
        <v>119776.56796875</v>
      </c>
      <c r="J248" s="3" t="n">
        <v>109900</v>
      </c>
      <c r="K248" s="3" t="n">
        <v>50794.11764705883</v>
      </c>
      <c r="L248" s="5" t="n">
        <v>0.2073682324840765</v>
      </c>
      <c r="M248" s="3" t="n">
        <v>64647.05882352941</v>
      </c>
      <c r="N248" s="5" t="n">
        <v>0.3772178969517743</v>
      </c>
      <c r="O248" s="3" t="n">
        <v>98829.64</v>
      </c>
      <c r="P248" s="5" t="n">
        <v>0.5926218971353129</v>
      </c>
      <c r="Q248" s="3" t="n">
        <v>69160</v>
      </c>
      <c r="R248" s="5" t="n">
        <v>0.4178566910063621</v>
      </c>
      <c r="S248" s="3" t="n">
        <v>67.60000000000001</v>
      </c>
      <c r="T248" s="5" t="n">
        <v>0.8432691091170975</v>
      </c>
      <c r="U248" s="6" t="n"/>
    </row>
    <row r="249">
      <c r="A249" s="2" t="inlineStr">
        <is>
          <t>LA EMPERATRIZ</t>
        </is>
      </c>
      <c r="B249" s="2" t="inlineStr">
        <is>
          <t>EMPERATRIZ STRAP TIE SIDE BOTTOM</t>
        </is>
      </c>
      <c r="C249" s="2" t="inlineStr">
        <is>
          <t>273236/EMPZ</t>
        </is>
      </c>
      <c r="D249" s="2" t="n">
        <v>8000</v>
      </c>
      <c r="E249" s="3" t="n">
        <v>31458</v>
      </c>
      <c r="F249" s="4" t="n">
        <v>10185.03125</v>
      </c>
      <c r="G249" s="3">
        <f>IF(OR(E249="",F249=""),"",E249+F249)</f>
        <v/>
      </c>
      <c r="H249" s="3" t="n">
        <v>49555.2071875</v>
      </c>
      <c r="I249" s="3" t="n">
        <v>123888.01796875</v>
      </c>
      <c r="J249" s="3" t="n">
        <v>119900</v>
      </c>
      <c r="K249" s="3" t="n">
        <v>55415.96638655462</v>
      </c>
      <c r="L249" s="5" t="n">
        <v>0.2485373085525817</v>
      </c>
      <c r="M249" s="3" t="n">
        <v>70529.41176470587</v>
      </c>
      <c r="N249" s="5" t="n">
        <v>0.409565028148457</v>
      </c>
      <c r="O249" s="3" t="n">
        <v>98829.64</v>
      </c>
      <c r="P249" s="5" t="n">
        <v>0.5786382379820467</v>
      </c>
      <c r="Q249" s="3" t="n">
        <v>69160</v>
      </c>
      <c r="R249" s="5" t="n">
        <v>0.3978740420763447</v>
      </c>
      <c r="S249" s="3" t="n">
        <v>67.60000000000001</v>
      </c>
      <c r="T249" s="5" t="n">
        <v>0.8378891651744005</v>
      </c>
      <c r="U249" s="6" t="n"/>
    </row>
    <row r="250">
      <c r="A250" s="2" t="inlineStr">
        <is>
          <t>LA EMPERATRIZ</t>
        </is>
      </c>
      <c r="B250" s="2" t="inlineStr">
        <is>
          <t>EMPERATRIZ SPORTY TOP</t>
        </is>
      </c>
      <c r="C250" s="2" t="inlineStr">
        <is>
          <t>273145/EMPZ</t>
        </is>
      </c>
      <c r="D250" s="2" t="n">
        <v>8000</v>
      </c>
      <c r="E250" s="3" t="n">
        <v>29721</v>
      </c>
      <c r="F250" s="4" t="n">
        <v>10185.03125</v>
      </c>
      <c r="G250" s="3">
        <f>IF(OR(E250="",F250=""),"",E250+F250)</f>
        <v/>
      </c>
      <c r="H250" s="3" t="n">
        <v>47488.1771875</v>
      </c>
      <c r="I250" s="3" t="n">
        <v>118720.44296875</v>
      </c>
      <c r="J250" s="3" t="n">
        <v>129900</v>
      </c>
      <c r="K250" s="3" t="n">
        <v>60037.81512605043</v>
      </c>
      <c r="L250" s="5" t="n">
        <v>0.335318396143887</v>
      </c>
      <c r="M250" s="3" t="n">
        <v>76411.76470588235</v>
      </c>
      <c r="N250" s="5" t="n">
        <v>0.4777501683987683</v>
      </c>
      <c r="O250" s="3" t="n">
        <v>114034.2</v>
      </c>
      <c r="P250" s="5" t="n">
        <v>0.6500520786746432</v>
      </c>
      <c r="Q250" s="3" t="n">
        <v>79800</v>
      </c>
      <c r="R250" s="5" t="n">
        <v>0.4999244204260652</v>
      </c>
      <c r="S250" s="3" t="n">
        <v>78</v>
      </c>
      <c r="T250" s="5" t="n">
        <v>0.8653642670377868</v>
      </c>
      <c r="U250" s="6" t="n"/>
    </row>
    <row r="251">
      <c r="A251" s="2" t="inlineStr">
        <is>
          <t>LA EMPERATRIZ</t>
        </is>
      </c>
      <c r="B251" s="2" t="inlineStr">
        <is>
          <t>EMPERATRIZ HIGH WAIST BOTTOM</t>
        </is>
      </c>
      <c r="C251" s="2" t="inlineStr">
        <is>
          <t>273223/EMPZ</t>
        </is>
      </c>
      <c r="D251" s="2" t="n">
        <v>8000</v>
      </c>
      <c r="E251" s="3" t="n">
        <v>21976.61</v>
      </c>
      <c r="F251" s="4" t="n">
        <v>10185.03125</v>
      </c>
      <c r="G251" s="3">
        <f>IF(OR(E251="",F251=""),"",E251+F251)</f>
        <v/>
      </c>
      <c r="H251" s="3" t="n">
        <v>38272.3530875</v>
      </c>
      <c r="I251" s="3" t="n">
        <v>95680.88271874998</v>
      </c>
      <c r="J251" s="3" t="n">
        <v>109900</v>
      </c>
      <c r="K251" s="3" t="n">
        <v>50794.11764705883</v>
      </c>
      <c r="L251" s="5" t="n">
        <v>0.3668235075275044</v>
      </c>
      <c r="M251" s="3" t="n">
        <v>64647.05882352941</v>
      </c>
      <c r="N251" s="5" t="n">
        <v>0.5025041844858962</v>
      </c>
      <c r="O251" s="3" t="n">
        <v>98829.64</v>
      </c>
      <c r="P251" s="5" t="n">
        <v>0.6745749428005606</v>
      </c>
      <c r="Q251" s="3" t="n">
        <v>69160</v>
      </c>
      <c r="R251" s="5" t="n">
        <v>0.5349675932620012</v>
      </c>
      <c r="S251" s="3" t="n">
        <v>67.60000000000001</v>
      </c>
      <c r="T251" s="5" t="n">
        <v>0.8747989674166926</v>
      </c>
      <c r="U251" s="6" t="n"/>
    </row>
    <row r="252">
      <c r="A252" s="2" t="inlineStr">
        <is>
          <t>LA EMPERATRIZ</t>
        </is>
      </c>
      <c r="B252" s="2" t="inlineStr">
        <is>
          <t>EMPERATRIZ STRAIGHT ONE PIECE</t>
        </is>
      </c>
      <c r="C252" s="2" t="inlineStr">
        <is>
          <t>273370/EMPZ</t>
        </is>
      </c>
      <c r="D252" s="2" t="n">
        <v>8000</v>
      </c>
      <c r="E252" s="3" t="n">
        <v>41826.0998</v>
      </c>
      <c r="F252" s="4" t="n">
        <v>10185.03125</v>
      </c>
      <c r="G252" s="3">
        <f>IF(OR(E252="",F252=""),"",E252+F252)</f>
        <v/>
      </c>
      <c r="H252" s="3" t="n">
        <v>61893.2459495</v>
      </c>
      <c r="I252" s="3" t="n">
        <v>154733.11487375</v>
      </c>
      <c r="J252" s="3" t="n">
        <v>189900</v>
      </c>
      <c r="K252" s="3" t="n">
        <v>87768.90756302522</v>
      </c>
      <c r="L252" s="5" t="n">
        <v>0.4074082440566806</v>
      </c>
      <c r="M252" s="3" t="n">
        <v>111705.8823529412</v>
      </c>
      <c r="N252" s="5" t="n">
        <v>0.5343921917588204</v>
      </c>
      <c r="O252" s="3" t="n">
        <v>190057</v>
      </c>
      <c r="P252" s="5" t="n">
        <v>0.7263393032090373</v>
      </c>
      <c r="Q252" s="3" t="n">
        <v>133000</v>
      </c>
      <c r="R252" s="5" t="n">
        <v>0.6089388642857143</v>
      </c>
      <c r="S252" s="3" t="n">
        <v>130</v>
      </c>
      <c r="T252" s="5" t="n">
        <v>0.8947143096153846</v>
      </c>
      <c r="U252" s="6" t="n"/>
    </row>
    <row r="253">
      <c r="A253" s="2" t="inlineStr">
        <is>
          <t>LA EMPERATRIZ</t>
        </is>
      </c>
      <c r="B253" s="2" t="inlineStr">
        <is>
          <t>EMPERATRIZ ONE SHOULDER ONE PIECE</t>
        </is>
      </c>
      <c r="C253" s="2" t="inlineStr">
        <is>
          <t>273326/EMPZ</t>
        </is>
      </c>
      <c r="D253" s="2" t="n">
        <v>8000</v>
      </c>
      <c r="E253" s="3" t="n">
        <v>50818.26518928901</v>
      </c>
      <c r="F253" s="4" t="n">
        <v>10185.03125</v>
      </c>
      <c r="G253" s="3">
        <f>IF(OR(E253="",F253=""),"",E253+F253)</f>
        <v/>
      </c>
      <c r="H253" s="3" t="n">
        <v>72593.92276275392</v>
      </c>
      <c r="I253" s="3" t="n">
        <v>181484.8069068848</v>
      </c>
      <c r="J253" s="3" t="n">
        <v>199900</v>
      </c>
      <c r="K253" s="3" t="n">
        <v>92390.75630252103</v>
      </c>
      <c r="L253" s="5" t="n">
        <v>0.3397251101664113</v>
      </c>
      <c r="M253" s="3" t="n">
        <v>117588.2352941176</v>
      </c>
      <c r="N253" s="5" t="n">
        <v>0.481212586559323</v>
      </c>
      <c r="O253" s="3" t="n">
        <v>197659.28</v>
      </c>
      <c r="P253" s="5" t="n">
        <v>0.6913714527378172</v>
      </c>
      <c r="Q253" s="3" t="n">
        <v>138320</v>
      </c>
      <c r="R253" s="5" t="n">
        <v>0.5589698059623408</v>
      </c>
      <c r="S253" s="3" t="n">
        <v>135.2</v>
      </c>
      <c r="T253" s="5" t="n">
        <v>0.8812611016052456</v>
      </c>
      <c r="U253" s="6" t="n"/>
    </row>
    <row r="254">
      <c r="A254" s="2" t="inlineStr">
        <is>
          <t>LA EMPERATRIZ</t>
        </is>
      </c>
      <c r="B254" s="2" t="inlineStr">
        <is>
          <t>EMPERATRIZ PAREO</t>
        </is>
      </c>
      <c r="C254" s="2" t="inlineStr">
        <is>
          <t>27RE22/EMPZ</t>
        </is>
      </c>
      <c r="D254" s="2" t="n">
        <v>8000</v>
      </c>
      <c r="E254" s="3" t="n">
        <v>22789.02857142857</v>
      </c>
      <c r="F254" s="4" t="n">
        <v>10185.03125</v>
      </c>
      <c r="G254" s="3">
        <f>IF(OR(E254="",F254=""),"",E254+F254)</f>
        <v/>
      </c>
      <c r="H254" s="3" t="n">
        <v>39239.1311875</v>
      </c>
      <c r="I254" s="3" t="n">
        <v>98097.82796874999</v>
      </c>
      <c r="J254" s="3" t="n">
        <v>139900</v>
      </c>
      <c r="K254" s="3" t="n">
        <v>64659.66386554623</v>
      </c>
      <c r="L254" s="5" t="n">
        <v>0.4900366341217754</v>
      </c>
      <c r="M254" s="3" t="n">
        <v>82294.11764705883</v>
      </c>
      <c r="N254" s="5" t="n">
        <v>0.5993144982385378</v>
      </c>
      <c r="O254" s="3" t="n">
        <v>136841.04</v>
      </c>
      <c r="P254" s="5" t="n">
        <v>0.7590338408606908</v>
      </c>
      <c r="Q254" s="3" t="n">
        <v>95760</v>
      </c>
      <c r="R254" s="5" t="n">
        <v>0.6556593585899272</v>
      </c>
      <c r="S254" s="3" t="n">
        <v>93.60000000000001</v>
      </c>
      <c r="T254" s="5" t="n">
        <v>0.9072929042357497</v>
      </c>
      <c r="U254" s="6" t="n"/>
    </row>
    <row r="255">
      <c r="A255" s="2" t="inlineStr">
        <is>
          <t>LA EMPERATRIZ</t>
        </is>
      </c>
      <c r="B255" s="2" t="inlineStr">
        <is>
          <t>EMPERATRIZ TOWEL</t>
        </is>
      </c>
      <c r="C255" s="2" t="inlineStr">
        <is>
          <t>27TO27/EMPZ</t>
        </is>
      </c>
      <c r="D255" s="2" t="n">
        <v>8000</v>
      </c>
      <c r="E255" s="3" t="n">
        <v>30842</v>
      </c>
      <c r="F255" s="4" t="n">
        <v>10185.03125</v>
      </c>
      <c r="G255" s="3">
        <f>IF(OR(E255="",F255=""),"",E255+F255)</f>
        <v/>
      </c>
      <c r="H255" s="3" t="n">
        <v>48822.1671875</v>
      </c>
      <c r="I255" s="3" t="n">
        <v>122055.41796875</v>
      </c>
      <c r="J255" s="3" t="n">
        <v>89900</v>
      </c>
      <c r="K255" s="3" t="n">
        <v>41550.42016806723</v>
      </c>
      <c r="L255" s="5" t="n">
        <v>0.01259647714632437</v>
      </c>
      <c r="M255" s="3" t="n">
        <v>52882.35294117647</v>
      </c>
      <c r="N255" s="5" t="n">
        <v>0.2241829463292547</v>
      </c>
      <c r="O255" s="3" t="n">
        <v>106431.92</v>
      </c>
      <c r="P255" s="5" t="n">
        <v>0.6145232440606163</v>
      </c>
      <c r="Q255" s="3" t="n">
        <v>74479.99999999999</v>
      </c>
      <c r="R255" s="5" t="n">
        <v>0.4491537157626208</v>
      </c>
      <c r="S255" s="3" t="n">
        <v>72.8</v>
      </c>
      <c r="T255" s="5" t="n">
        <v>0.8516952311668594</v>
      </c>
      <c r="U255" s="6" t="n"/>
    </row>
    <row r="256">
      <c r="A256" s="2" t="inlineStr">
        <is>
          <t>LA EMPERATRIZ</t>
        </is>
      </c>
      <c r="B256" s="2" t="inlineStr">
        <is>
          <t>EMPERATRIZ T-SHIRT</t>
        </is>
      </c>
      <c r="C256" s="2" t="inlineStr">
        <is>
          <t>27TSH20/EMPZ</t>
        </is>
      </c>
      <c r="D256" s="2" t="n">
        <v>8000</v>
      </c>
      <c r="E256" s="3" t="n">
        <v>35411.6</v>
      </c>
      <c r="F256" s="4" t="n">
        <v>10185.03125</v>
      </c>
      <c r="G256" s="3">
        <f>IF(OR(E256="",F256=""),"",E256+F256)</f>
        <v/>
      </c>
      <c r="H256" s="3" t="n">
        <v>54259.9911875</v>
      </c>
      <c r="I256" s="3" t="n">
        <v>135649.97796875</v>
      </c>
      <c r="J256" s="3" t="n">
        <v>129900</v>
      </c>
      <c r="K256" s="3" t="n">
        <v>60037.81512605043</v>
      </c>
      <c r="L256" s="5" t="n">
        <v>0.2405348003709148</v>
      </c>
      <c r="M256" s="3" t="n">
        <v>76411.76470588235</v>
      </c>
      <c r="N256" s="5" t="n">
        <v>0.4032773431485758</v>
      </c>
      <c r="O256" s="3" t="n">
        <v>129238.76</v>
      </c>
      <c r="P256" s="5" t="n">
        <v>0.6471907402237532</v>
      </c>
      <c r="Q256" s="3" t="n">
        <v>90439.99999999999</v>
      </c>
      <c r="R256" s="5" t="n">
        <v>0.4958355677797434</v>
      </c>
      <c r="S256" s="3" t="n">
        <v>88.40000000000001</v>
      </c>
      <c r="T256" s="5" t="n">
        <v>0.8642634220945464</v>
      </c>
      <c r="U256" s="6" t="n"/>
    </row>
    <row r="257">
      <c r="A257" s="2" t="inlineStr">
        <is>
          <t>LA EMPERATRIZ</t>
        </is>
      </c>
      <c r="B257" s="2" t="inlineStr">
        <is>
          <t>EMPERATRIZ SHIRT</t>
        </is>
      </c>
      <c r="C257" s="2" t="inlineStr">
        <is>
          <t>27CA21/EMPZ</t>
        </is>
      </c>
      <c r="D257" s="2" t="n">
        <v>8000</v>
      </c>
      <c r="E257" s="3" t="n">
        <v>47099</v>
      </c>
      <c r="F257" s="4" t="n">
        <v>10185.03125</v>
      </c>
      <c r="G257" s="3">
        <f>IF(OR(E257="",F257=""),"",E257+F257)</f>
        <v/>
      </c>
      <c r="H257" s="3" t="n">
        <v>68167.99718749999</v>
      </c>
      <c r="I257" s="3" t="n">
        <v>170419.99296875</v>
      </c>
      <c r="J257" s="3" t="n">
        <v>169000</v>
      </c>
      <c r="K257" s="3" t="n">
        <v>78109.24369747899</v>
      </c>
      <c r="L257" s="5" t="n">
        <v>0.2666164907208176</v>
      </c>
      <c r="M257" s="3" t="n">
        <v>99411.76470588235</v>
      </c>
      <c r="N257" s="5" t="n">
        <v>0.423770099852071</v>
      </c>
      <c r="O257" s="3" t="n">
        <v>174852.44</v>
      </c>
      <c r="P257" s="5" t="n">
        <v>0.6723864348132631</v>
      </c>
      <c r="Q257" s="3" t="n">
        <v>122360</v>
      </c>
      <c r="R257" s="5" t="n">
        <v>0.531840215348153</v>
      </c>
      <c r="S257" s="3" t="n">
        <v>119.6</v>
      </c>
      <c r="T257" s="5" t="n">
        <v>0.873956981055272</v>
      </c>
      <c r="U257" s="6" t="n"/>
    </row>
    <row r="258">
      <c r="A258" s="2" t="inlineStr">
        <is>
          <t>LA EMPERATRIZ</t>
        </is>
      </c>
      <c r="B258" s="2" t="inlineStr">
        <is>
          <t>EMPERATRIZ WRAP SKORT</t>
        </is>
      </c>
      <c r="C258" s="2" t="inlineStr">
        <is>
          <t>27FA25/EMPZ</t>
        </is>
      </c>
      <c r="D258" s="2" t="n">
        <v>8000</v>
      </c>
      <c r="E258" s="3" t="n">
        <v>36274</v>
      </c>
      <c r="F258" s="4" t="n">
        <v>10185.03125</v>
      </c>
      <c r="G258" s="3">
        <f>IF(OR(E258="",F258=""),"",E258+F258)</f>
        <v/>
      </c>
      <c r="H258" s="3" t="n">
        <v>55286.2471875</v>
      </c>
      <c r="I258" s="3" t="n">
        <v>138215.61796875</v>
      </c>
      <c r="J258" s="3" t="n">
        <v>139900</v>
      </c>
      <c r="K258" s="3" t="n">
        <v>64659.66386554623</v>
      </c>
      <c r="L258" s="5" t="n">
        <v>0.2814835637468323</v>
      </c>
      <c r="M258" s="3" t="n">
        <v>82294.11764705883</v>
      </c>
      <c r="N258" s="5" t="n">
        <v>0.4354513715153681</v>
      </c>
      <c r="O258" s="3" t="n">
        <v>167250.16</v>
      </c>
      <c r="P258" s="5" t="n">
        <v>0.7222183150676806</v>
      </c>
      <c r="Q258" s="3" t="n">
        <v>117040</v>
      </c>
      <c r="R258" s="5" t="n">
        <v>0.6030499722317156</v>
      </c>
      <c r="S258" s="3" t="n">
        <v>114.4</v>
      </c>
      <c r="T258" s="5" t="n">
        <v>0.8931288386777696</v>
      </c>
      <c r="U258" s="6" t="n"/>
    </row>
    <row r="259">
      <c r="A259" s="2" t="inlineStr">
        <is>
          <t>LA EMPERATRIZ</t>
        </is>
      </c>
      <c r="B259" s="2" t="inlineStr">
        <is>
          <t>EMPERATRIZ MESH LONG DRESS</t>
        </is>
      </c>
      <c r="C259" s="2" t="inlineStr">
        <is>
          <t>27VE36/EMPZ</t>
        </is>
      </c>
      <c r="D259" s="2" t="n">
        <v>8000</v>
      </c>
      <c r="E259" s="3" t="n">
        <v>49635.625</v>
      </c>
      <c r="F259" s="4" t="n">
        <v>10185.03125</v>
      </c>
      <c r="G259" s="3">
        <f>IF(OR(E259="",F259=""),"",E259+F259)</f>
        <v/>
      </c>
      <c r="H259" s="3" t="n">
        <v>71186.5809375</v>
      </c>
      <c r="I259" s="3" t="n">
        <v>177966.45234375</v>
      </c>
      <c r="J259" s="3" t="n">
        <v>169900</v>
      </c>
      <c r="K259" s="3" t="n">
        <v>78525.21008403362</v>
      </c>
      <c r="L259" s="5" t="n">
        <v>0.2381980744020548</v>
      </c>
      <c r="M259" s="3" t="n">
        <v>99941.17647058824</v>
      </c>
      <c r="N259" s="5" t="n">
        <v>0.401441344173043</v>
      </c>
      <c r="O259" s="3" t="n">
        <v>182454.72</v>
      </c>
      <c r="P259" s="5" t="n">
        <v>0.6721342355517028</v>
      </c>
      <c r="Q259" s="3" t="n">
        <v>127680</v>
      </c>
      <c r="R259" s="5" t="n">
        <v>0.5314798226033834</v>
      </c>
      <c r="S259" s="3" t="n">
        <v>124.8</v>
      </c>
      <c r="T259" s="5" t="n">
        <v>0.8738599522393725</v>
      </c>
      <c r="U259" s="6" t="n"/>
    </row>
    <row r="260">
      <c r="A260" s="2" t="inlineStr">
        <is>
          <t>LA EMPERATRIZ</t>
        </is>
      </c>
      <c r="B260" s="2" t="inlineStr">
        <is>
          <t>EMPERATRIZ MESH DRESS</t>
        </is>
      </c>
      <c r="C260" s="2" t="inlineStr">
        <is>
          <t>27VE32/EMPZ</t>
        </is>
      </c>
      <c r="D260" s="2" t="n">
        <v>8000</v>
      </c>
      <c r="E260" s="3" t="n">
        <v>51220.07</v>
      </c>
      <c r="F260" s="4" t="n">
        <v>10185.03125</v>
      </c>
      <c r="G260" s="3">
        <f>IF(OR(E260="",F260=""),"",E260+F260)</f>
        <v/>
      </c>
      <c r="H260" s="3" t="n">
        <v>73072.07048749999</v>
      </c>
      <c r="I260" s="3" t="n">
        <v>182680.17621875</v>
      </c>
      <c r="J260" s="3" t="n">
        <v>169900</v>
      </c>
      <c r="K260" s="3" t="n">
        <v>78525.21008403362</v>
      </c>
      <c r="L260" s="5" t="n">
        <v>0.2180205416287657</v>
      </c>
      <c r="M260" s="3" t="n">
        <v>99941.17647058824</v>
      </c>
      <c r="N260" s="5" t="n">
        <v>0.3855875684226016</v>
      </c>
      <c r="O260" s="3" t="n">
        <v>182454.72</v>
      </c>
      <c r="P260" s="5" t="n">
        <v>0.6634501905459063</v>
      </c>
      <c r="Q260" s="3" t="n">
        <v>127680</v>
      </c>
      <c r="R260" s="5" t="n">
        <v>0.5190703222901003</v>
      </c>
      <c r="S260" s="3" t="n">
        <v>124.8</v>
      </c>
      <c r="T260" s="5" t="n">
        <v>0.8705189329242577</v>
      </c>
      <c r="U260" s="6" t="n"/>
    </row>
    <row r="261">
      <c r="A261" s="2" t="inlineStr">
        <is>
          <t>LA EMPERATRIZ</t>
        </is>
      </c>
      <c r="B261" s="2" t="inlineStr">
        <is>
          <t>EMPERATRIZ MESH SHIRT</t>
        </is>
      </c>
      <c r="C261" s="2" t="inlineStr">
        <is>
          <t>27CA36/EMPZ</t>
        </is>
      </c>
      <c r="D261" s="2" t="n">
        <v>8000</v>
      </c>
      <c r="E261" s="3" t="n">
        <v>30229.34408602151</v>
      </c>
      <c r="F261" s="4" t="n">
        <v>10185.03125</v>
      </c>
      <c r="G261" s="3">
        <f>IF(OR(E261="",F261=""),"",E261+F261)</f>
        <v/>
      </c>
      <c r="H261" s="3" t="n">
        <v>48093.10664986559</v>
      </c>
      <c r="I261" s="3" t="n">
        <v>120232.766624664</v>
      </c>
      <c r="J261" s="3" t="n">
        <v>129900</v>
      </c>
      <c r="K261" s="3" t="n">
        <v>60037.81512605043</v>
      </c>
      <c r="L261" s="5" t="n">
        <v>0.3268513310957298</v>
      </c>
      <c r="M261" s="3" t="n">
        <v>76411.76470588235</v>
      </c>
      <c r="N261" s="5" t="n">
        <v>0.4710974744323591</v>
      </c>
      <c r="O261" s="3" t="n">
        <v>144443.32</v>
      </c>
      <c r="P261" s="5" t="n">
        <v>0.7202059926618862</v>
      </c>
      <c r="Q261" s="3" t="n">
        <v>101080</v>
      </c>
      <c r="R261" s="5" t="n">
        <v>0.6001743635138355</v>
      </c>
      <c r="S261" s="3" t="n">
        <v>98.8</v>
      </c>
      <c r="T261" s="5" t="n">
        <v>0.8923546363306479</v>
      </c>
      <c r="U261" s="6" t="n"/>
    </row>
    <row r="262">
      <c r="A262" s="2" t="inlineStr">
        <is>
          <t>LA EMPERATRIZ</t>
        </is>
      </c>
      <c r="B262" s="2" t="inlineStr">
        <is>
          <t>ORÁCULO MESH SHIRT</t>
        </is>
      </c>
      <c r="C262" s="2" t="inlineStr">
        <is>
          <t>27CA36/ORCL</t>
        </is>
      </c>
      <c r="D262" s="2" t="n">
        <v>8000</v>
      </c>
      <c r="E262" s="3" t="n">
        <v>30229.34408602151</v>
      </c>
      <c r="F262" s="4" t="n">
        <v>10185.03125</v>
      </c>
      <c r="G262" s="3">
        <f>IF(OR(E262="",F262=""),"",E262+F262)</f>
        <v/>
      </c>
      <c r="H262" s="3" t="n">
        <v>48093.10664986559</v>
      </c>
      <c r="I262" s="3" t="n">
        <v>120232.766624664</v>
      </c>
      <c r="J262" s="3" t="n">
        <v>129900</v>
      </c>
      <c r="K262" s="3" t="n">
        <v>60037.81512605043</v>
      </c>
      <c r="L262" s="5" t="n">
        <v>0.3268513310957298</v>
      </c>
      <c r="M262" s="3" t="n">
        <v>76411.76470588235</v>
      </c>
      <c r="N262" s="5" t="n">
        <v>0.4710974744323591</v>
      </c>
      <c r="O262" s="3" t="e">
        <v>#N/A</v>
      </c>
      <c r="P262" s="5" t="e">
        <v>#N/A</v>
      </c>
      <c r="Q262" s="3" t="e">
        <v>#N/A</v>
      </c>
      <c r="R262" s="5" t="e">
        <v>#N/A</v>
      </c>
      <c r="S262" s="3" t="e">
        <v>#N/A</v>
      </c>
      <c r="T262" s="5" t="e">
        <v>#N/A</v>
      </c>
      <c r="U262" s="6" t="n"/>
    </row>
    <row r="263">
      <c r="A263" s="2" t="inlineStr">
        <is>
          <t>LA EMPERATRIZ</t>
        </is>
      </c>
      <c r="B263" s="2" t="inlineStr">
        <is>
          <t>EMPERATRIZ MESH LONG SHIRT</t>
        </is>
      </c>
      <c r="C263" s="2" t="inlineStr">
        <is>
          <t>27CA32/EMPZ</t>
        </is>
      </c>
      <c r="D263" s="2" t="n">
        <v>8000</v>
      </c>
      <c r="E263" s="3" t="n">
        <v>26982</v>
      </c>
      <c r="F263" s="4" t="n">
        <v>10185.03125</v>
      </c>
      <c r="G263" s="3">
        <f>IF(OR(E263="",F263=""),"",E263+F263)</f>
        <v/>
      </c>
      <c r="H263" s="3" t="n">
        <v>44228.7671875</v>
      </c>
      <c r="I263" s="3" t="n">
        <v>110571.91796875</v>
      </c>
      <c r="J263" s="3" t="n">
        <v>119900</v>
      </c>
      <c r="K263" s="3" t="n">
        <v>55415.96638655462</v>
      </c>
      <c r="L263" s="5" t="n">
        <v>0.3293082540374555</v>
      </c>
      <c r="M263" s="3" t="n">
        <v>70529.41176470587</v>
      </c>
      <c r="N263" s="5" t="n">
        <v>0.4730279138865721</v>
      </c>
      <c r="O263" s="3" t="n">
        <v>114034.2</v>
      </c>
      <c r="P263" s="5" t="n">
        <v>0.6740711887310999</v>
      </c>
      <c r="Q263" s="3" t="n">
        <v>79800</v>
      </c>
      <c r="R263" s="5" t="n">
        <v>0.5342477286967419</v>
      </c>
      <c r="S263" s="3" t="n">
        <v>78</v>
      </c>
      <c r="T263" s="5" t="n">
        <v>0.8746051577260459</v>
      </c>
      <c r="U263" s="6" t="n"/>
    </row>
    <row r="264">
      <c r="A264" s="2" t="inlineStr">
        <is>
          <t>LA EMPERATRIZ</t>
        </is>
      </c>
      <c r="B264" s="2" t="inlineStr">
        <is>
          <t>EMPERATRIZ SLEEP SLEEVELESS SHIRT</t>
        </is>
      </c>
      <c r="C264" s="2" t="inlineStr">
        <is>
          <t>274124/EMPZ</t>
        </is>
      </c>
      <c r="D264" s="2" t="n">
        <v>8000</v>
      </c>
      <c r="E264" s="3" t="n">
        <v>18336.66</v>
      </c>
      <c r="F264" s="4" t="n">
        <v>10185.03125</v>
      </c>
      <c r="G264" s="3">
        <f>IF(OR(E264="",F264=""),"",E264+F264)</f>
        <v/>
      </c>
      <c r="H264" s="3" t="n">
        <v>33940.8125875</v>
      </c>
      <c r="I264" s="3" t="n">
        <v>84852.03146874999</v>
      </c>
      <c r="J264" s="3" t="n">
        <v>79950</v>
      </c>
      <c r="K264" s="3" t="n">
        <v>36951.68067226891</v>
      </c>
      <c r="L264" s="5" t="n">
        <v>0.2281354804138952</v>
      </c>
      <c r="M264" s="3" t="n">
        <v>47029.41176470588</v>
      </c>
      <c r="N264" s="5" t="n">
        <v>0.3935350203252032</v>
      </c>
      <c r="O264" s="3" t="n">
        <v>49414.82</v>
      </c>
      <c r="P264" s="5" t="n">
        <v>0.4228109856516729</v>
      </c>
      <c r="Q264" s="3" t="n">
        <v>34580</v>
      </c>
      <c r="R264" s="5" t="n">
        <v>0.1751968984962406</v>
      </c>
      <c r="S264" s="3" t="n">
        <v>33.8</v>
      </c>
      <c r="T264" s="5" t="n">
        <v>0.7779376265182186</v>
      </c>
      <c r="U264" s="6" t="n"/>
    </row>
    <row r="265">
      <c r="A265" s="2" t="inlineStr">
        <is>
          <t>LA EMPERATRIZ</t>
        </is>
      </c>
      <c r="B265" s="2" t="inlineStr">
        <is>
          <t>EMPERATRIZ SLEEP SHORT</t>
        </is>
      </c>
      <c r="C265" s="2" t="inlineStr">
        <is>
          <t>274222/EMPZ</t>
        </is>
      </c>
      <c r="D265" s="2" t="n">
        <v>8000</v>
      </c>
      <c r="E265" s="3" t="n">
        <v>18737.81</v>
      </c>
      <c r="F265" s="4" t="n">
        <v>10185.03125</v>
      </c>
      <c r="G265" s="3">
        <f>IF(OR(E265="",F265=""),"",E265+F265)</f>
        <v/>
      </c>
      <c r="H265" s="3" t="n">
        <v>34418.1810875</v>
      </c>
      <c r="I265" s="3" t="n">
        <v>86045.45271874999</v>
      </c>
      <c r="J265" s="3" t="n">
        <v>99950</v>
      </c>
      <c r="K265" s="3" t="n">
        <v>46195.37815126051</v>
      </c>
      <c r="L265" s="5" t="n">
        <v>0.373901840238301</v>
      </c>
      <c r="M265" s="3" t="n">
        <v>58794.11764705882</v>
      </c>
      <c r="N265" s="5" t="n">
        <v>0.5080657316158078</v>
      </c>
      <c r="O265" s="3" t="n">
        <v>49414.82</v>
      </c>
      <c r="P265" s="5" t="n">
        <v>0.4146929757105257</v>
      </c>
      <c r="Q265" s="3" t="n">
        <v>34580</v>
      </c>
      <c r="R265" s="5" t="n">
        <v>0.1635962622903412</v>
      </c>
      <c r="S265" s="3" t="n">
        <v>33.8</v>
      </c>
      <c r="T265" s="5" t="n">
        <v>0.7748143783089381</v>
      </c>
      <c r="U265" s="6" t="n"/>
    </row>
    <row r="266">
      <c r="A266" s="2" t="inlineStr">
        <is>
          <t>LA EMPERATRIZ</t>
        </is>
      </c>
      <c r="B266" s="2" t="inlineStr">
        <is>
          <t>EMPERATRIZ SLEEP LONG SHIRT</t>
        </is>
      </c>
      <c r="C266" s="2" t="inlineStr">
        <is>
          <t>274121/EMPZ</t>
        </is>
      </c>
      <c r="D266" s="2" t="n">
        <v>8000</v>
      </c>
      <c r="E266" s="3" t="n">
        <v>32611.31</v>
      </c>
      <c r="F266" s="4" t="n">
        <v>10185.03125</v>
      </c>
      <c r="G266" s="3">
        <f>IF(OR(E266="",F266=""),"",E266+F266)</f>
        <v/>
      </c>
      <c r="H266" s="3" t="n">
        <v>50927.6460875</v>
      </c>
      <c r="I266" s="3" t="n">
        <v>127319.11521875</v>
      </c>
      <c r="J266" s="3" t="n">
        <v>99950</v>
      </c>
      <c r="K266" s="3" t="n">
        <v>46195.37815126051</v>
      </c>
      <c r="L266" s="5" t="n">
        <v>0.07357958820319273</v>
      </c>
      <c r="M266" s="3" t="n">
        <v>58794.11764705882</v>
      </c>
      <c r="N266" s="5" t="n">
        <v>0.2720982478739369</v>
      </c>
      <c r="O266" s="3" t="n">
        <v>64619.37999999999</v>
      </c>
      <c r="P266" s="5" t="n">
        <v>0.3377166223198055</v>
      </c>
      <c r="Q266" s="3" t="n">
        <v>45219.99999999999</v>
      </c>
      <c r="R266" s="5" t="n">
        <v>0.05359705329500211</v>
      </c>
      <c r="S266" s="3" t="n">
        <v>44.2</v>
      </c>
      <c r="T266" s="5" t="n">
        <v>0.7451992066563468</v>
      </c>
      <c r="U266" s="6" t="n"/>
    </row>
    <row r="267">
      <c r="A267" s="2" t="inlineStr">
        <is>
          <t>LA EMPERATRIZ</t>
        </is>
      </c>
      <c r="B267" s="2" t="inlineStr">
        <is>
          <t>EMPERATRIZ SLEEP PANTS</t>
        </is>
      </c>
      <c r="C267" s="2" t="inlineStr">
        <is>
          <t>274323/EMPZ</t>
        </is>
      </c>
      <c r="D267" s="2" t="n">
        <v>8000</v>
      </c>
      <c r="E267" s="3" t="n">
        <v>28786.53</v>
      </c>
      <c r="F267" s="4" t="n">
        <v>10185.03125</v>
      </c>
      <c r="G267" s="3">
        <f>IF(OR(E267="",F267=""),"",E267+F267)</f>
        <v/>
      </c>
      <c r="H267" s="3" t="n">
        <v>46376.1578875</v>
      </c>
      <c r="I267" s="3" t="n">
        <v>115940.39471875</v>
      </c>
      <c r="J267" s="3" t="n">
        <v>99950</v>
      </c>
      <c r="K267" s="3" t="n">
        <v>46195.37815126051</v>
      </c>
      <c r="L267" s="5" t="n">
        <v>0.1563753169766703</v>
      </c>
      <c r="M267" s="3" t="n">
        <v>58794.11764705882</v>
      </c>
      <c r="N267" s="5" t="n">
        <v>0.3371520347673836</v>
      </c>
      <c r="O267" s="3" t="n">
        <v>57017.1</v>
      </c>
      <c r="P267" s="5" t="n">
        <v>0.3164934510874808</v>
      </c>
      <c r="Q267" s="3" t="n">
        <v>39900</v>
      </c>
      <c r="R267" s="5" t="n">
        <v>0.02326914160401005</v>
      </c>
      <c r="S267" s="3" t="n">
        <v>39</v>
      </c>
      <c r="T267" s="5" t="n">
        <v>0.7370339996626181</v>
      </c>
      <c r="U267" s="6" t="n"/>
    </row>
    <row r="268">
      <c r="A268" s="2" t="inlineStr">
        <is>
          <t>LA EMPERATRIZ</t>
        </is>
      </c>
      <c r="B268" s="2" t="inlineStr">
        <is>
          <t>EMPERATRIZ SLEEP SHORT SLEEVELESS SHIRT</t>
        </is>
      </c>
      <c r="C268" s="2" t="inlineStr">
        <is>
          <t>274125/EMPZ</t>
        </is>
      </c>
      <c r="D268" s="2" t="n">
        <v>8000</v>
      </c>
      <c r="E268" s="3" t="n">
        <v>21807.84375</v>
      </c>
      <c r="F268" s="4" t="n">
        <v>10185.03125</v>
      </c>
      <c r="G268" s="3">
        <f>IF(OR(E268="",F268=""),"",E268+F268)</f>
        <v/>
      </c>
      <c r="H268" s="3" t="n">
        <v>38071.52125</v>
      </c>
      <c r="I268" s="3" t="n">
        <v>95178.80312499999</v>
      </c>
      <c r="J268" s="3" t="n">
        <v>89950</v>
      </c>
      <c r="K268" s="3" t="n">
        <v>41573.52941176471</v>
      </c>
      <c r="L268" s="5" t="n">
        <v>0.2304508312698976</v>
      </c>
      <c r="M268" s="3" t="n">
        <v>52911.76470588235</v>
      </c>
      <c r="N268" s="5" t="n">
        <v>0.395354224569205</v>
      </c>
      <c r="O268" s="3" t="n">
        <v>53215.95999999999</v>
      </c>
      <c r="P268" s="5" t="n">
        <v>0.3988105260151277</v>
      </c>
      <c r="Q268" s="3" t="n">
        <v>37239.99999999999</v>
      </c>
      <c r="R268" s="5" t="n">
        <v>0.1409002416756175</v>
      </c>
      <c r="S268" s="3" t="n">
        <v>36.4</v>
      </c>
      <c r="T268" s="5" t="n">
        <v>0.7687039112203586</v>
      </c>
      <c r="U268" s="6" t="n"/>
    </row>
    <row r="269">
      <c r="A269" s="2" t="inlineStr">
        <is>
          <t>LA EMPERATRIZ</t>
        </is>
      </c>
      <c r="B269" s="2" t="inlineStr">
        <is>
          <t>I'M BLACK MESH DOUBLE STRAP TRIANGLE TOP</t>
        </is>
      </c>
      <c r="C269" s="2" t="inlineStr">
        <is>
          <t>273178/BLA</t>
        </is>
      </c>
      <c r="D269" s="2" t="n">
        <v>8000</v>
      </c>
      <c r="E269" s="3" t="n">
        <v>31318.24892307692</v>
      </c>
      <c r="F269" s="4" t="n">
        <v>10185.03125</v>
      </c>
      <c r="G269" s="3">
        <f>IF(OR(E269="",F269=""),"",E269+F269)</f>
        <v/>
      </c>
      <c r="H269" s="3" t="n">
        <v>49388.90340596154</v>
      </c>
      <c r="I269" s="3" t="n">
        <v>123472.2585149038</v>
      </c>
      <c r="J269" s="3" t="n">
        <v>129900</v>
      </c>
      <c r="K269" s="3" t="n">
        <v>60037.81512605043</v>
      </c>
      <c r="L269" s="5" t="n">
        <v>0.3087143480164947</v>
      </c>
      <c r="M269" s="3" t="n">
        <v>76411.76470588235</v>
      </c>
      <c r="N269" s="5" t="n">
        <v>0.4568469877272457</v>
      </c>
      <c r="O269" s="3" t="n">
        <v>121636.48</v>
      </c>
      <c r="P269" s="5" t="n">
        <v>0.6587924924078951</v>
      </c>
      <c r="Q269" s="3" t="n">
        <v>85120</v>
      </c>
      <c r="R269" s="5" t="n">
        <v>0.5124144716508819</v>
      </c>
      <c r="S269" s="3" t="n">
        <v>83.2</v>
      </c>
      <c r="T269" s="5" t="n">
        <v>0.868726973136776</v>
      </c>
      <c r="U269" s="6" t="n"/>
    </row>
    <row r="270">
      <c r="A270" s="2" t="inlineStr">
        <is>
          <t>LA EMPERATRIZ</t>
        </is>
      </c>
      <c r="B270" s="2" t="inlineStr">
        <is>
          <t>I'M BLACK MESH STRAP TIE SIDE BOTTOM</t>
        </is>
      </c>
      <c r="C270" s="2" t="inlineStr">
        <is>
          <t>273243/BLA</t>
        </is>
      </c>
      <c r="D270" s="2" t="n">
        <v>8000</v>
      </c>
      <c r="E270" s="3" t="n">
        <v>28402.929105</v>
      </c>
      <c r="F270" s="4" t="n">
        <v>10185.03125</v>
      </c>
      <c r="G270" s="3">
        <f>IF(OR(E270="",F270=""),"",E270+F270)</f>
        <v/>
      </c>
      <c r="H270" s="3" t="n">
        <v>45919.67282245</v>
      </c>
      <c r="I270" s="3" t="n">
        <v>114799.182056125</v>
      </c>
      <c r="J270" s="3" t="n">
        <v>119900</v>
      </c>
      <c r="K270" s="3" t="n">
        <v>55415.96638655462</v>
      </c>
      <c r="L270" s="5" t="n">
        <v>0.3036671040647509</v>
      </c>
      <c r="M270" s="3" t="n">
        <v>70529.41176470587</v>
      </c>
      <c r="N270" s="5" t="n">
        <v>0.4528812960508756</v>
      </c>
      <c r="O270" s="3" t="n">
        <v>106431.92</v>
      </c>
      <c r="P270" s="5" t="n">
        <v>0.6374399676807483</v>
      </c>
      <c r="Q270" s="3" t="n">
        <v>74479.99999999999</v>
      </c>
      <c r="R270" s="5" t="n">
        <v>0.4819017138157893</v>
      </c>
      <c r="S270" s="3" t="n">
        <v>72.8</v>
      </c>
      <c r="T270" s="5" t="n">
        <v>0.8605119998734818</v>
      </c>
      <c r="U270" s="6" t="n"/>
    </row>
    <row r="271">
      <c r="A271" s="2" t="inlineStr">
        <is>
          <t>LA EMPERATRIZ</t>
        </is>
      </c>
      <c r="B271" s="2" t="inlineStr">
        <is>
          <t>I'M BLACK MESH SPORTY TOP</t>
        </is>
      </c>
      <c r="C271" s="2" t="inlineStr">
        <is>
          <t>273176/BLA</t>
        </is>
      </c>
      <c r="D271" s="2" t="n">
        <v>8000</v>
      </c>
      <c r="E271" s="3" t="n">
        <v>29721</v>
      </c>
      <c r="F271" s="4" t="n">
        <v>10185.03125</v>
      </c>
      <c r="G271" s="3">
        <f>IF(OR(E271="",F271=""),"",E271+F271)</f>
        <v/>
      </c>
      <c r="H271" s="3" t="n">
        <v>47488.1771875</v>
      </c>
      <c r="I271" s="3" t="n">
        <v>118720.44296875</v>
      </c>
      <c r="J271" s="3" t="n">
        <v>129900</v>
      </c>
      <c r="K271" s="3" t="n">
        <v>60037.81512605043</v>
      </c>
      <c r="L271" s="5" t="n">
        <v>0.335318396143887</v>
      </c>
      <c r="M271" s="3" t="n">
        <v>76411.76470588235</v>
      </c>
      <c r="N271" s="5" t="n">
        <v>0.4777501683987683</v>
      </c>
      <c r="O271" s="3" t="n">
        <v>114034.2</v>
      </c>
      <c r="P271" s="5" t="n">
        <v>0.6500520786746432</v>
      </c>
      <c r="Q271" s="3" t="n">
        <v>79800</v>
      </c>
      <c r="R271" s="5" t="n">
        <v>0.4999244204260652</v>
      </c>
      <c r="S271" s="3" t="n">
        <v>78</v>
      </c>
      <c r="T271" s="5" t="n">
        <v>0.8653642670377868</v>
      </c>
      <c r="U271" s="6" t="n"/>
    </row>
    <row r="272">
      <c r="A272" s="2" t="inlineStr">
        <is>
          <t>LA EMPERATRIZ</t>
        </is>
      </c>
      <c r="B272" s="2" t="inlineStr">
        <is>
          <t>I'M BLACK MESH HIGH WAIST BOTTOM</t>
        </is>
      </c>
      <c r="C272" s="2" t="inlineStr">
        <is>
          <t>273244/BLA</t>
        </is>
      </c>
      <c r="D272" s="2" t="n">
        <v>8000</v>
      </c>
      <c r="E272" s="3" t="n">
        <v>24454.81</v>
      </c>
      <c r="F272" s="4" t="n">
        <v>10185.03125</v>
      </c>
      <c r="G272" s="3">
        <f>IF(OR(E272="",F272=""),"",E272+F272)</f>
        <v/>
      </c>
      <c r="H272" s="3" t="n">
        <v>41221.4110875</v>
      </c>
      <c r="I272" s="3" t="n">
        <v>103053.52771875</v>
      </c>
      <c r="J272" s="3" t="n">
        <v>109900</v>
      </c>
      <c r="K272" s="3" t="n">
        <v>50794.11764705883</v>
      </c>
      <c r="L272" s="5" t="n">
        <v>0.3180343934568617</v>
      </c>
      <c r="M272" s="3" t="n">
        <v>64647.05882352941</v>
      </c>
      <c r="N272" s="5" t="n">
        <v>0.4641698805732484</v>
      </c>
      <c r="O272" s="3" t="n">
        <v>98829.64</v>
      </c>
      <c r="P272" s="5" t="n">
        <v>0.6494994694911365</v>
      </c>
      <c r="Q272" s="3" t="n">
        <v>69160</v>
      </c>
      <c r="R272" s="5" t="n">
        <v>0.499134741902834</v>
      </c>
      <c r="S272" s="3" t="n">
        <v>67.60000000000001</v>
      </c>
      <c r="T272" s="5" t="n">
        <v>0.8651516612815322</v>
      </c>
      <c r="U272" s="6" t="n"/>
    </row>
    <row r="273">
      <c r="A273" s="2" t="inlineStr">
        <is>
          <t>LA EMPERATRIZ</t>
        </is>
      </c>
      <c r="B273" s="2" t="inlineStr">
        <is>
          <t>I'M BLACK MESH HALTER STRAP ONE PIECE</t>
        </is>
      </c>
      <c r="C273" s="2" t="inlineStr">
        <is>
          <t>273375/BLA</t>
        </is>
      </c>
      <c r="D273" s="2" t="n">
        <v>8000</v>
      </c>
      <c r="E273" s="3" t="n">
        <v>52580.91</v>
      </c>
      <c r="F273" s="4" t="n">
        <v>10185.03125</v>
      </c>
      <c r="G273" s="3">
        <f>IF(OR(E273="",F273=""),"",E273+F273)</f>
        <v/>
      </c>
      <c r="H273" s="3" t="n">
        <v>74691.4700875</v>
      </c>
      <c r="I273" s="3" t="n">
        <v>186728.67521875</v>
      </c>
      <c r="J273" s="3" t="n">
        <v>199900</v>
      </c>
      <c r="K273" s="3" t="n">
        <v>92390.75630252103</v>
      </c>
      <c r="L273" s="5" t="n">
        <v>0.3206469590477057</v>
      </c>
      <c r="M273" s="3" t="n">
        <v>117588.2352941176</v>
      </c>
      <c r="N273" s="5" t="n">
        <v>0.4662226106803401</v>
      </c>
      <c r="O273" s="3" t="n">
        <v>209062.7</v>
      </c>
      <c r="P273" s="5" t="n">
        <v>0.6997745592590165</v>
      </c>
      <c r="Q273" s="3" t="n">
        <v>146300</v>
      </c>
      <c r="R273" s="5" t="n">
        <v>0.5709778451811346</v>
      </c>
      <c r="S273" s="3" t="n">
        <v>143</v>
      </c>
      <c r="T273" s="5" t="n">
        <v>0.8844940352410746</v>
      </c>
      <c r="U273" s="6" t="n"/>
    </row>
    <row r="274">
      <c r="A274" s="2" t="inlineStr">
        <is>
          <t>LA EMPERATRIZ</t>
        </is>
      </c>
      <c r="B274" s="2" t="inlineStr">
        <is>
          <t>I'M BLACK MESH KNIT SHIRT</t>
        </is>
      </c>
      <c r="C274" s="2" t="inlineStr">
        <is>
          <t>27CA37/BLA</t>
        </is>
      </c>
      <c r="D274" s="2" t="n">
        <v>8000</v>
      </c>
      <c r="E274" s="3" t="n">
        <v>39513.2555555556</v>
      </c>
      <c r="F274" s="4" t="n">
        <v>10185.03125</v>
      </c>
      <c r="G274" s="3">
        <f>IF(OR(E274="",F274=""),"",E274+F274)</f>
        <v/>
      </c>
      <c r="H274" s="3" t="n">
        <v>59140.96129861117</v>
      </c>
      <c r="I274" s="3" t="n">
        <v>147852.4032465279</v>
      </c>
      <c r="J274" s="3" t="n">
        <v>149900</v>
      </c>
      <c r="K274" s="3" t="n">
        <v>69281.51260504202</v>
      </c>
      <c r="L274" s="5" t="n">
        <v>0.2826616374721188</v>
      </c>
      <c r="M274" s="3" t="n">
        <v>88176.4705882353</v>
      </c>
      <c r="N274" s="5" t="n">
        <v>0.4363770008709505</v>
      </c>
      <c r="O274" s="3" t="n">
        <v>152045.6</v>
      </c>
      <c r="P274" s="5" t="n">
        <v>0.6731356461117217</v>
      </c>
      <c r="Q274" s="3" t="n">
        <v>106400</v>
      </c>
      <c r="R274" s="5" t="n">
        <v>0.5329108382936504</v>
      </c>
      <c r="S274" s="3" t="n">
        <v>104</v>
      </c>
      <c r="T274" s="5" t="n">
        <v>0.8742452256944444</v>
      </c>
      <c r="U274" s="6" t="n"/>
    </row>
    <row r="275">
      <c r="A275" s="2" t="inlineStr">
        <is>
          <t>LA EMPERATRIZ</t>
        </is>
      </c>
      <c r="B275" s="2" t="inlineStr">
        <is>
          <t>I'M BLACK MESH KNIT PANTS</t>
        </is>
      </c>
      <c r="C275" s="2" t="inlineStr">
        <is>
          <t>27PA26/BLA</t>
        </is>
      </c>
      <c r="D275" s="2" t="n">
        <v>8000</v>
      </c>
      <c r="E275" s="3" t="n">
        <v>47192.70193548387</v>
      </c>
      <c r="F275" s="4" t="n">
        <v>10185.03125</v>
      </c>
      <c r="G275" s="3">
        <f>IF(OR(E275="",F275=""),"",E275+F275)</f>
        <v/>
      </c>
      <c r="H275" s="3" t="n">
        <v>68279.5024907258</v>
      </c>
      <c r="I275" s="3" t="n">
        <v>170698.7562268145</v>
      </c>
      <c r="J275" s="3" t="n">
        <v>159900</v>
      </c>
      <c r="K275" s="3" t="n">
        <v>73903.36134453783</v>
      </c>
      <c r="L275" s="5" t="n">
        <v>0.2236113196801888</v>
      </c>
      <c r="M275" s="3" t="n">
        <v>94058.82352941176</v>
      </c>
      <c r="N275" s="5" t="n">
        <v>0.3899803226058625</v>
      </c>
      <c r="O275" s="3" t="n">
        <v>174852.44</v>
      </c>
      <c r="P275" s="5" t="n">
        <v>0.671850543318218</v>
      </c>
      <c r="Q275" s="3" t="n">
        <v>122360</v>
      </c>
      <c r="R275" s="5" t="n">
        <v>0.5310744264017336</v>
      </c>
      <c r="S275" s="3" t="n">
        <v>119.6</v>
      </c>
      <c r="T275" s="5" t="n">
        <v>0.873750807108159</v>
      </c>
      <c r="U275" s="6" t="n"/>
    </row>
    <row r="276">
      <c r="A276" s="2" t="inlineStr">
        <is>
          <t>LA EMPERATRIZ</t>
        </is>
      </c>
      <c r="B276" s="2" t="inlineStr">
        <is>
          <t>I'M BLACK EMBROIDERED WRAP SKORT</t>
        </is>
      </c>
      <c r="C276" s="2" t="inlineStr">
        <is>
          <t>27FA29/BLA</t>
        </is>
      </c>
      <c r="D276" s="2" t="n">
        <v>8000</v>
      </c>
      <c r="E276" s="3" t="n">
        <v>36274</v>
      </c>
      <c r="F276" s="4" t="n">
        <v>10185.03125</v>
      </c>
      <c r="G276" s="3">
        <f>IF(OR(E276="",F276=""),"",E276+F276)</f>
        <v/>
      </c>
      <c r="H276" s="3" t="n">
        <v>55286.2471875</v>
      </c>
      <c r="I276" s="3" t="n">
        <v>138215.61796875</v>
      </c>
      <c r="J276" s="3" t="n">
        <v>139900</v>
      </c>
      <c r="K276" s="3" t="n">
        <v>64659.66386554623</v>
      </c>
      <c r="L276" s="5" t="n">
        <v>0.2814835637468323</v>
      </c>
      <c r="M276" s="3" t="n">
        <v>82294.11764705883</v>
      </c>
      <c r="N276" s="5" t="n">
        <v>0.4354513715153681</v>
      </c>
      <c r="O276" s="3" t="n">
        <v>190057</v>
      </c>
      <c r="P276" s="5" t="n">
        <v>0.755552117259559</v>
      </c>
      <c r="Q276" s="3" t="n">
        <v>133000</v>
      </c>
      <c r="R276" s="5" t="n">
        <v>0.6506839755639098</v>
      </c>
      <c r="S276" s="3" t="n">
        <v>130</v>
      </c>
      <c r="T276" s="5" t="n">
        <v>0.9059533780364373</v>
      </c>
      <c r="U276" s="6" t="n"/>
    </row>
    <row r="277">
      <c r="A277" s="2" t="inlineStr">
        <is>
          <t>LA EMPERATRIZ</t>
        </is>
      </c>
      <c r="B277" s="2" t="inlineStr">
        <is>
          <t>I'M BLACK EMBROIDERED WAISTCOAT</t>
        </is>
      </c>
      <c r="C277" s="2" t="inlineStr">
        <is>
          <t>27WA20/BLA</t>
        </is>
      </c>
      <c r="D277" s="2" t="n">
        <v>8000</v>
      </c>
      <c r="E277" s="3" t="n"/>
      <c r="F277" s="4" t="n">
        <v>10185.03125</v>
      </c>
      <c r="G277" s="3">
        <f>IF(OR(E277="",F277=""),"",E277+F277)</f>
        <v/>
      </c>
      <c r="H277" s="3" t="n">
        <v>12120.1871875</v>
      </c>
      <c r="I277" s="3" t="n">
        <v>30300.46796875</v>
      </c>
      <c r="J277" s="3" t="n"/>
      <c r="K277" s="3" t="n">
        <v>0</v>
      </c>
      <c r="L277" s="5" t="e">
        <v>#DIV/0!</v>
      </c>
      <c r="M277" s="3" t="n">
        <v>0</v>
      </c>
      <c r="N277" s="5" t="e">
        <v>#DIV/0!</v>
      </c>
      <c r="O277" s="3" t="n">
        <v>197659.28</v>
      </c>
      <c r="P277" s="5" t="n">
        <v>0.9484717780516048</v>
      </c>
      <c r="Q277" s="3" t="n">
        <v>138320</v>
      </c>
      <c r="R277" s="5" t="n">
        <v>0.9263661708357432</v>
      </c>
      <c r="S277" s="3" t="n">
        <v>135.2</v>
      </c>
      <c r="T277" s="5" t="n">
        <v>0.9801755075327001</v>
      </c>
      <c r="U277" s="7" t="inlineStr">
        <is>
          <t>Falta costo directo (COSTO PRODUCTO) en el archivo original — ya venía como #DIV/0! ahí</t>
        </is>
      </c>
    </row>
    <row r="278">
      <c r="A278" s="2" t="inlineStr">
        <is>
          <t>LA EMPERATRIZ</t>
        </is>
      </c>
      <c r="B278" s="2" t="inlineStr">
        <is>
          <t>I'M BLACK LARGE RUFFLE MESH PAREO</t>
        </is>
      </c>
      <c r="C278" s="2" t="inlineStr">
        <is>
          <t>27RE30/BLA</t>
        </is>
      </c>
      <c r="D278" s="2" t="n">
        <v>8000</v>
      </c>
      <c r="E278" s="3" t="n">
        <v>37562.52</v>
      </c>
      <c r="F278" s="4" t="n">
        <v>10185.03125</v>
      </c>
      <c r="G278" s="3">
        <f>IF(OR(E278="",F278=""),"",E278+F278)</f>
        <v/>
      </c>
      <c r="H278" s="3" t="n">
        <v>56819.5859875</v>
      </c>
      <c r="I278" s="3" t="n">
        <v>142048.96496875</v>
      </c>
      <c r="J278" s="3" t="n">
        <v>159900</v>
      </c>
      <c r="K278" s="3" t="n">
        <v>73903.36134453783</v>
      </c>
      <c r="L278" s="5" t="n">
        <v>0.353919085934391</v>
      </c>
      <c r="M278" s="3" t="n">
        <v>94058.82352941176</v>
      </c>
      <c r="N278" s="5" t="n">
        <v>0.4923649960913071</v>
      </c>
      <c r="O278" s="3" t="n">
        <v>136841.04</v>
      </c>
      <c r="P278" s="5" t="n">
        <v>0.6510728707557324</v>
      </c>
      <c r="Q278" s="3" t="n">
        <v>95760</v>
      </c>
      <c r="R278" s="5" t="n">
        <v>0.5013831323099416</v>
      </c>
      <c r="S278" s="3" t="n">
        <v>93.60000000000001</v>
      </c>
      <c r="T278" s="5" t="n">
        <v>0.8657569971603688</v>
      </c>
      <c r="U278" s="6" t="n"/>
    </row>
    <row r="279">
      <c r="A279" s="2" t="inlineStr">
        <is>
          <t>LA EMPERATRIZ</t>
        </is>
      </c>
      <c r="B279" s="2" t="inlineStr">
        <is>
          <t>I'M BLACK ESSENTIAL TOP</t>
        </is>
      </c>
      <c r="C279" s="2" t="inlineStr">
        <is>
          <t>275120/BLA</t>
        </is>
      </c>
      <c r="D279" s="2" t="n">
        <v>8000</v>
      </c>
      <c r="E279" s="3" t="n">
        <v>16457</v>
      </c>
      <c r="F279" s="4" t="n">
        <v>10185.03125</v>
      </c>
      <c r="G279" s="3">
        <f>IF(OR(E279="",F279=""),"",E279+F279)</f>
        <v/>
      </c>
      <c r="H279" s="3" t="n">
        <v>31704.0171875</v>
      </c>
      <c r="I279" s="3" t="n">
        <v>79260.04296875</v>
      </c>
      <c r="J279" s="3" t="n">
        <v>59900</v>
      </c>
      <c r="K279" s="3" t="n">
        <v>27684.87394957984</v>
      </c>
      <c r="L279" s="5" t="n">
        <v>0.03766832030657171</v>
      </c>
      <c r="M279" s="3" t="n">
        <v>35235.29411764706</v>
      </c>
      <c r="N279" s="5" t="n">
        <v>0.243882251669449</v>
      </c>
      <c r="O279" s="3" t="n">
        <v>57017.1</v>
      </c>
      <c r="P279" s="5" t="n">
        <v>0.5327361221458123</v>
      </c>
      <c r="Q279" s="3" t="n">
        <v>39900</v>
      </c>
      <c r="R279" s="5" t="n">
        <v>0.3322799185463659</v>
      </c>
      <c r="S279" s="3" t="n">
        <v>39</v>
      </c>
      <c r="T279" s="5" t="n">
        <v>0.8202292088394062</v>
      </c>
      <c r="U279" s="6" t="n"/>
    </row>
    <row r="280">
      <c r="A280" s="2" t="inlineStr">
        <is>
          <t>LA EMPERATRIZ</t>
        </is>
      </c>
      <c r="B280" s="2" t="inlineStr">
        <is>
          <t>CONSTELACIÓN TRIANGLE TOP</t>
        </is>
      </c>
      <c r="C280" s="2" t="inlineStr">
        <is>
          <t>273135/CONST</t>
        </is>
      </c>
      <c r="D280" s="2" t="n">
        <v>8000</v>
      </c>
      <c r="E280" s="3" t="n">
        <v>30076</v>
      </c>
      <c r="F280" s="4" t="n">
        <v>10185.03125</v>
      </c>
      <c r="G280" s="3">
        <f>IF(OR(E280="",F280=""),"",E280+F280)</f>
        <v/>
      </c>
      <c r="H280" s="3" t="n">
        <v>47910.62718749999</v>
      </c>
      <c r="I280" s="3" t="n">
        <v>119776.56796875</v>
      </c>
      <c r="J280" s="3" t="n">
        <v>109900</v>
      </c>
      <c r="K280" s="3" t="n">
        <v>50794.11764705883</v>
      </c>
      <c r="L280" s="5" t="n">
        <v>0.2073682324840765</v>
      </c>
      <c r="M280" s="3" t="n">
        <v>64647.05882352941</v>
      </c>
      <c r="N280" s="5" t="n">
        <v>0.3772178969517743</v>
      </c>
      <c r="O280" s="3" t="n">
        <v>98829.64</v>
      </c>
      <c r="P280" s="5" t="n">
        <v>0.5926218971353129</v>
      </c>
      <c r="Q280" s="3" t="n">
        <v>69160</v>
      </c>
      <c r="R280" s="5" t="n">
        <v>0.4178566910063621</v>
      </c>
      <c r="S280" s="3" t="n">
        <v>67.60000000000001</v>
      </c>
      <c r="T280" s="5" t="n">
        <v>0.8432691091170975</v>
      </c>
      <c r="U280" s="6" t="n"/>
    </row>
    <row r="281">
      <c r="A281" s="2" t="inlineStr">
        <is>
          <t>LA EMPERATRIZ</t>
        </is>
      </c>
      <c r="B281" s="2" t="inlineStr">
        <is>
          <t>CONSTELACIÓN STRAP TIE SIDE BOTTOM</t>
        </is>
      </c>
      <c r="C281" s="2" t="inlineStr">
        <is>
          <t>273236/CONST</t>
        </is>
      </c>
      <c r="D281" s="2" t="n">
        <v>8000</v>
      </c>
      <c r="E281" s="3" t="n">
        <v>31458</v>
      </c>
      <c r="F281" s="4" t="n">
        <v>10185.03125</v>
      </c>
      <c r="G281" s="3">
        <f>IF(OR(E281="",F281=""),"",E281+F281)</f>
        <v/>
      </c>
      <c r="H281" s="3" t="n">
        <v>49555.2071875</v>
      </c>
      <c r="I281" s="3" t="n">
        <v>123888.01796875</v>
      </c>
      <c r="J281" s="3" t="n">
        <v>119900</v>
      </c>
      <c r="K281" s="3" t="n">
        <v>55415.96638655462</v>
      </c>
      <c r="L281" s="5" t="n">
        <v>0.2485373085525817</v>
      </c>
      <c r="M281" s="3" t="n">
        <v>70529.41176470587</v>
      </c>
      <c r="N281" s="5" t="n">
        <v>0.409565028148457</v>
      </c>
      <c r="O281" s="3" t="n">
        <v>98829.64</v>
      </c>
      <c r="P281" s="5" t="n">
        <v>0.5786382379820467</v>
      </c>
      <c r="Q281" s="3" t="n">
        <v>69160</v>
      </c>
      <c r="R281" s="5" t="n">
        <v>0.3978740420763447</v>
      </c>
      <c r="S281" s="3" t="n">
        <v>67.60000000000001</v>
      </c>
      <c r="T281" s="5" t="n">
        <v>0.8378891651744005</v>
      </c>
      <c r="U281" s="6" t="n"/>
    </row>
    <row r="282">
      <c r="A282" s="2" t="inlineStr">
        <is>
          <t>LA EMPERATRIZ</t>
        </is>
      </c>
      <c r="B282" s="2" t="inlineStr">
        <is>
          <t>CONSTELACIÓN SPORTY TOP</t>
        </is>
      </c>
      <c r="C282" s="2" t="inlineStr">
        <is>
          <t>273145/CONST</t>
        </is>
      </c>
      <c r="D282" s="2" t="n">
        <v>8000</v>
      </c>
      <c r="E282" s="3" t="n">
        <v>29721</v>
      </c>
      <c r="F282" s="4" t="n">
        <v>10185.03125</v>
      </c>
      <c r="G282" s="3">
        <f>IF(OR(E282="",F282=""),"",E282+F282)</f>
        <v/>
      </c>
      <c r="H282" s="3" t="n">
        <v>47488.1771875</v>
      </c>
      <c r="I282" s="3" t="n">
        <v>118720.44296875</v>
      </c>
      <c r="J282" s="3" t="n">
        <v>129900</v>
      </c>
      <c r="K282" s="3" t="n">
        <v>60037.81512605043</v>
      </c>
      <c r="L282" s="5" t="n">
        <v>0.335318396143887</v>
      </c>
      <c r="M282" s="3" t="n">
        <v>76411.76470588235</v>
      </c>
      <c r="N282" s="5" t="n">
        <v>0.4777501683987683</v>
      </c>
      <c r="O282" s="3" t="n">
        <v>114034.2</v>
      </c>
      <c r="P282" s="5" t="n">
        <v>0.6500520786746432</v>
      </c>
      <c r="Q282" s="3" t="n">
        <v>79800</v>
      </c>
      <c r="R282" s="5" t="n">
        <v>0.4999244204260652</v>
      </c>
      <c r="S282" s="3" t="n">
        <v>78</v>
      </c>
      <c r="T282" s="5" t="n">
        <v>0.8653642670377868</v>
      </c>
      <c r="U282" s="6" t="n"/>
    </row>
    <row r="283">
      <c r="A283" s="2" t="inlineStr">
        <is>
          <t>LA EMPERATRIZ</t>
        </is>
      </c>
      <c r="B283" s="2" t="inlineStr">
        <is>
          <t>CONSTELACIÓN HIGH WAIST BOTTOM</t>
        </is>
      </c>
      <c r="C283" s="2" t="inlineStr">
        <is>
          <t>273223/CONST</t>
        </is>
      </c>
      <c r="D283" s="2" t="n">
        <v>8000</v>
      </c>
      <c r="E283" s="3" t="n">
        <v>21976.61</v>
      </c>
      <c r="F283" s="4" t="n">
        <v>10185.03125</v>
      </c>
      <c r="G283" s="3">
        <f>IF(OR(E283="",F283=""),"",E283+F283)</f>
        <v/>
      </c>
      <c r="H283" s="3" t="n">
        <v>38272.3530875</v>
      </c>
      <c r="I283" s="3" t="n">
        <v>95680.88271874998</v>
      </c>
      <c r="J283" s="3" t="n">
        <v>109900</v>
      </c>
      <c r="K283" s="3" t="n">
        <v>50794.11764705883</v>
      </c>
      <c r="L283" s="5" t="n">
        <v>0.3668235075275044</v>
      </c>
      <c r="M283" s="3" t="n">
        <v>64647.05882352941</v>
      </c>
      <c r="N283" s="5" t="n">
        <v>0.5025041844858962</v>
      </c>
      <c r="O283" s="3" t="n">
        <v>98829.64</v>
      </c>
      <c r="P283" s="5" t="n">
        <v>0.6745749428005606</v>
      </c>
      <c r="Q283" s="3" t="n">
        <v>69160</v>
      </c>
      <c r="R283" s="5" t="n">
        <v>0.5349675932620012</v>
      </c>
      <c r="S283" s="3" t="n">
        <v>67.60000000000001</v>
      </c>
      <c r="T283" s="5" t="n">
        <v>0.8747989674166926</v>
      </c>
      <c r="U283" s="6" t="n"/>
    </row>
    <row r="284">
      <c r="A284" s="2" t="inlineStr">
        <is>
          <t>LA EMPERATRIZ</t>
        </is>
      </c>
      <c r="B284" s="2" t="inlineStr">
        <is>
          <t>CONSTELACIÓN ONE SHOULDER ONE PIECE</t>
        </is>
      </c>
      <c r="C284" s="2" t="inlineStr">
        <is>
          <t>273326/CONST</t>
        </is>
      </c>
      <c r="D284" s="2" t="n">
        <v>8000</v>
      </c>
      <c r="E284" s="3" t="n">
        <v>50818.26518928901</v>
      </c>
      <c r="F284" s="4" t="n">
        <v>10185.03125</v>
      </c>
      <c r="G284" s="3">
        <f>IF(OR(E284="",F284=""),"",E284+F284)</f>
        <v/>
      </c>
      <c r="H284" s="3" t="n">
        <v>72593.92276275392</v>
      </c>
      <c r="I284" s="3" t="n">
        <v>181484.8069068848</v>
      </c>
      <c r="J284" s="3" t="n">
        <v>199900</v>
      </c>
      <c r="K284" s="3" t="n">
        <v>92390.75630252103</v>
      </c>
      <c r="L284" s="5" t="n">
        <v>0.3397251101664113</v>
      </c>
      <c r="M284" s="3" t="n">
        <v>117588.2352941176</v>
      </c>
      <c r="N284" s="5" t="n">
        <v>0.481212586559323</v>
      </c>
      <c r="O284" s="3" t="n">
        <v>197659.28</v>
      </c>
      <c r="P284" s="5" t="n">
        <v>0.6913714527378172</v>
      </c>
      <c r="Q284" s="3" t="n">
        <v>138320</v>
      </c>
      <c r="R284" s="5" t="n">
        <v>0.5589698059623408</v>
      </c>
      <c r="S284" s="3" t="n">
        <v>135.2</v>
      </c>
      <c r="T284" s="5" t="n">
        <v>0.8812611016052456</v>
      </c>
      <c r="U284" s="6" t="n"/>
    </row>
    <row r="285">
      <c r="A285" s="2" t="inlineStr">
        <is>
          <t>LA EMPERATRIZ</t>
        </is>
      </c>
      <c r="B285" s="2" t="inlineStr">
        <is>
          <t>CONSTELACIÓN RUCHED STRAPLESS ONE PIECE</t>
        </is>
      </c>
      <c r="C285" s="2" t="inlineStr">
        <is>
          <t>273373/CONST</t>
        </is>
      </c>
      <c r="D285" s="2" t="n">
        <v>8000</v>
      </c>
      <c r="E285" s="3" t="n">
        <v>42622</v>
      </c>
      <c r="F285" s="4" t="n">
        <v>10185.03125</v>
      </c>
      <c r="G285" s="3">
        <f>IF(OR(E285="",F285=""),"",E285+F285)</f>
        <v/>
      </c>
      <c r="H285" s="3" t="n">
        <v>62840.3671875</v>
      </c>
      <c r="I285" s="3" t="n">
        <v>157100.91796875</v>
      </c>
      <c r="J285" s="3" t="n">
        <v>199900</v>
      </c>
      <c r="K285" s="3" t="n">
        <v>92390.75630252103</v>
      </c>
      <c r="L285" s="5" t="n">
        <v>0.428438153735959</v>
      </c>
      <c r="M285" s="3" t="n">
        <v>117588.2352941176</v>
      </c>
      <c r="N285" s="5" t="n">
        <v>0.5509156922211105</v>
      </c>
      <c r="O285" s="3" t="n">
        <v>197659.28</v>
      </c>
      <c r="P285" s="5" t="n">
        <v>0.732838087591941</v>
      </c>
      <c r="Q285" s="3" t="n">
        <v>138320</v>
      </c>
      <c r="R285" s="5" t="n">
        <v>0.6182256271688837</v>
      </c>
      <c r="S285" s="3" t="n">
        <v>135.2</v>
      </c>
      <c r="T285" s="5" t="n">
        <v>0.8972145919300841</v>
      </c>
      <c r="U285" s="6" t="n"/>
    </row>
    <row r="286">
      <c r="A286" s="2" t="inlineStr">
        <is>
          <t>LA EMPERATRIZ</t>
        </is>
      </c>
      <c r="B286" s="2" t="inlineStr">
        <is>
          <t>CONSTELACIÓN PAREO</t>
        </is>
      </c>
      <c r="C286" s="2" t="inlineStr">
        <is>
          <t>27RE22/CONST</t>
        </is>
      </c>
      <c r="D286" s="2" t="n">
        <v>8000</v>
      </c>
      <c r="E286" s="3" t="n">
        <v>22789.02857142857</v>
      </c>
      <c r="F286" s="4" t="n">
        <v>10185.03125</v>
      </c>
      <c r="G286" s="3">
        <f>IF(OR(E286="",F286=""),"",E286+F286)</f>
        <v/>
      </c>
      <c r="H286" s="3" t="n">
        <v>39239.1311875</v>
      </c>
      <c r="I286" s="3" t="n">
        <v>98097.82796874999</v>
      </c>
      <c r="J286" s="3" t="n">
        <v>139900</v>
      </c>
      <c r="K286" s="3" t="n">
        <v>64659.66386554623</v>
      </c>
      <c r="L286" s="5" t="n">
        <v>0.4900366341217754</v>
      </c>
      <c r="M286" s="3" t="n">
        <v>82294.11764705883</v>
      </c>
      <c r="N286" s="5" t="n">
        <v>0.5993144982385378</v>
      </c>
      <c r="O286" s="3" t="n">
        <v>136841.04</v>
      </c>
      <c r="P286" s="5" t="n">
        <v>0.7590338408606908</v>
      </c>
      <c r="Q286" s="3" t="n">
        <v>95760</v>
      </c>
      <c r="R286" s="5" t="n">
        <v>0.6556593585899272</v>
      </c>
      <c r="S286" s="3" t="n">
        <v>93.60000000000001</v>
      </c>
      <c r="T286" s="5" t="n">
        <v>0.9072929042357497</v>
      </c>
      <c r="U286" s="6" t="n"/>
    </row>
    <row r="287">
      <c r="A287" s="2" t="inlineStr">
        <is>
          <t>LA EMPERATRIZ</t>
        </is>
      </c>
      <c r="B287" s="2" t="inlineStr">
        <is>
          <t>CONSTELACIÓN TOWEL</t>
        </is>
      </c>
      <c r="C287" s="2" t="inlineStr">
        <is>
          <t>27TO27/CONST</t>
        </is>
      </c>
      <c r="D287" s="2" t="n">
        <v>8000</v>
      </c>
      <c r="E287" s="3" t="n">
        <v>30842</v>
      </c>
      <c r="F287" s="4" t="n">
        <v>10185.03125</v>
      </c>
      <c r="G287" s="3">
        <f>IF(OR(E287="",F287=""),"",E287+F287)</f>
        <v/>
      </c>
      <c r="H287" s="3" t="n">
        <v>48822.1671875</v>
      </c>
      <c r="I287" s="3" t="n">
        <v>122055.41796875</v>
      </c>
      <c r="J287" s="3" t="n">
        <v>89900</v>
      </c>
      <c r="K287" s="3" t="n">
        <v>41550.42016806723</v>
      </c>
      <c r="L287" s="5" t="n">
        <v>0.01259647714632437</v>
      </c>
      <c r="M287" s="3" t="n">
        <v>52882.35294117647</v>
      </c>
      <c r="N287" s="5" t="n">
        <v>0.2241829463292547</v>
      </c>
      <c r="O287" s="3" t="n">
        <v>106431.92</v>
      </c>
      <c r="P287" s="5" t="n">
        <v>0.6145232440606163</v>
      </c>
      <c r="Q287" s="3" t="n">
        <v>74479.99999999999</v>
      </c>
      <c r="R287" s="5" t="n">
        <v>0.4491537157626208</v>
      </c>
      <c r="S287" s="3" t="n">
        <v>72.8</v>
      </c>
      <c r="T287" s="5" t="n">
        <v>0.8516952311668594</v>
      </c>
      <c r="U287" s="6" t="n"/>
    </row>
    <row r="288">
      <c r="A288" s="2" t="inlineStr">
        <is>
          <t>LA EMPERATRIZ</t>
        </is>
      </c>
      <c r="B288" s="2" t="inlineStr">
        <is>
          <t>CONSTELACIÓN T-SHIRT</t>
        </is>
      </c>
      <c r="C288" s="2" t="inlineStr">
        <is>
          <t>27TSH20/CONST</t>
        </is>
      </c>
      <c r="D288" s="2" t="n">
        <v>8000</v>
      </c>
      <c r="E288" s="3" t="n">
        <v>35411.6</v>
      </c>
      <c r="F288" s="4" t="n">
        <v>10185.03125</v>
      </c>
      <c r="G288" s="3">
        <f>IF(OR(E288="",F288=""),"",E288+F288)</f>
        <v/>
      </c>
      <c r="H288" s="3" t="n">
        <v>54259.9911875</v>
      </c>
      <c r="I288" s="3" t="n">
        <v>135649.97796875</v>
      </c>
      <c r="J288" s="3" t="n">
        <v>129900</v>
      </c>
      <c r="K288" s="3" t="n">
        <v>60037.81512605043</v>
      </c>
      <c r="L288" s="5" t="n">
        <v>0.2405348003709148</v>
      </c>
      <c r="M288" s="3" t="n">
        <v>76411.76470588235</v>
      </c>
      <c r="N288" s="5" t="n">
        <v>0.4032773431485758</v>
      </c>
      <c r="O288" s="3" t="n">
        <v>129238.76</v>
      </c>
      <c r="P288" s="5" t="n">
        <v>0.6471907402237532</v>
      </c>
      <c r="Q288" s="3" t="n">
        <v>90439.99999999999</v>
      </c>
      <c r="R288" s="5" t="n">
        <v>0.4958355677797434</v>
      </c>
      <c r="S288" s="3" t="n">
        <v>88.40000000000001</v>
      </c>
      <c r="T288" s="5" t="n">
        <v>0.8642634220945464</v>
      </c>
      <c r="U288" s="6" t="n"/>
    </row>
    <row r="289">
      <c r="A289" s="2" t="inlineStr">
        <is>
          <t>LA EMPERATRIZ</t>
        </is>
      </c>
      <c r="B289" s="2" t="inlineStr">
        <is>
          <t>CONSTELACIÓN SHIRT</t>
        </is>
      </c>
      <c r="C289" s="2" t="inlineStr">
        <is>
          <t>27CA21/CONST</t>
        </is>
      </c>
      <c r="D289" s="2" t="n">
        <v>8000</v>
      </c>
      <c r="E289" s="3" t="n">
        <v>47099</v>
      </c>
      <c r="F289" s="4" t="n">
        <v>10185.03125</v>
      </c>
      <c r="G289" s="3">
        <f>IF(OR(E289="",F289=""),"",E289+F289)</f>
        <v/>
      </c>
      <c r="H289" s="3" t="n">
        <v>68167.99718749999</v>
      </c>
      <c r="I289" s="3" t="n">
        <v>170419.99296875</v>
      </c>
      <c r="J289" s="3" t="n">
        <v>169900</v>
      </c>
      <c r="K289" s="3" t="n">
        <v>78525.21008403362</v>
      </c>
      <c r="L289" s="5" t="n">
        <v>0.2705013945368934</v>
      </c>
      <c r="M289" s="3" t="n">
        <v>99941.17647058824</v>
      </c>
      <c r="N289" s="5" t="n">
        <v>0.4268225242789876</v>
      </c>
      <c r="O289" s="3" t="n">
        <v>174852.44</v>
      </c>
      <c r="P289" s="5" t="n">
        <v>0.6723864348132631</v>
      </c>
      <c r="Q289" s="3" t="n">
        <v>122360</v>
      </c>
      <c r="R289" s="5" t="n">
        <v>0.531840215348153</v>
      </c>
      <c r="S289" s="3" t="n">
        <v>119.6</v>
      </c>
      <c r="T289" s="5" t="n">
        <v>0.873956981055272</v>
      </c>
      <c r="U289" s="6" t="n"/>
    </row>
    <row r="290">
      <c r="A290" s="2" t="inlineStr">
        <is>
          <t>LA EMPERATRIZ</t>
        </is>
      </c>
      <c r="B290" s="2" t="inlineStr">
        <is>
          <t>CONSTELACIÓN WRAP SKORT</t>
        </is>
      </c>
      <c r="C290" s="2" t="inlineStr">
        <is>
          <t>27FA25/CONST</t>
        </is>
      </c>
      <c r="D290" s="2" t="n">
        <v>8000</v>
      </c>
      <c r="E290" s="3" t="n">
        <v>36274</v>
      </c>
      <c r="F290" s="4" t="n">
        <v>10185.03125</v>
      </c>
      <c r="G290" s="3">
        <f>IF(OR(E290="",F290=""),"",E290+F290)</f>
        <v/>
      </c>
      <c r="H290" s="3" t="n">
        <v>55286.2471875</v>
      </c>
      <c r="I290" s="3" t="n">
        <v>138215.61796875</v>
      </c>
      <c r="J290" s="3" t="n">
        <v>139900</v>
      </c>
      <c r="K290" s="3" t="n">
        <v>64659.66386554623</v>
      </c>
      <c r="L290" s="5" t="n">
        <v>0.2814835637468323</v>
      </c>
      <c r="M290" s="3" t="n">
        <v>82294.11764705883</v>
      </c>
      <c r="N290" s="5" t="n">
        <v>0.4354513715153681</v>
      </c>
      <c r="O290" s="3" t="n">
        <v>167250.16</v>
      </c>
      <c r="P290" s="5" t="n">
        <v>0.7222183150676806</v>
      </c>
      <c r="Q290" s="3" t="n">
        <v>117040</v>
      </c>
      <c r="R290" s="5" t="n">
        <v>0.6030499722317156</v>
      </c>
      <c r="S290" s="3" t="n">
        <v>114.4</v>
      </c>
      <c r="T290" s="5" t="n">
        <v>0.8931288386777696</v>
      </c>
      <c r="U290" s="6" t="n"/>
    </row>
    <row r="291">
      <c r="A291" s="2" t="inlineStr">
        <is>
          <t>LA EMPERATRIZ</t>
        </is>
      </c>
      <c r="B291" s="2" t="inlineStr">
        <is>
          <t>CONSTELACIÓN MESH LONG DRESS</t>
        </is>
      </c>
      <c r="C291" s="2" t="inlineStr">
        <is>
          <t>27VE36/CONST</t>
        </is>
      </c>
      <c r="D291" s="2" t="n">
        <v>8000</v>
      </c>
      <c r="E291" s="3" t="n">
        <v>49635.625</v>
      </c>
      <c r="F291" s="4" t="n">
        <v>10185.03125</v>
      </c>
      <c r="G291" s="3">
        <f>IF(OR(E291="",F291=""),"",E291+F291)</f>
        <v/>
      </c>
      <c r="H291" s="3" t="n">
        <v>71186.5809375</v>
      </c>
      <c r="I291" s="3" t="n">
        <v>177966.45234375</v>
      </c>
      <c r="J291" s="3" t="n">
        <v>169900</v>
      </c>
      <c r="K291" s="3" t="n">
        <v>78525.21008403362</v>
      </c>
      <c r="L291" s="5" t="n">
        <v>0.2381980744020548</v>
      </c>
      <c r="M291" s="3" t="n">
        <v>99941.17647058824</v>
      </c>
      <c r="N291" s="5" t="n">
        <v>0.401441344173043</v>
      </c>
      <c r="O291" s="3" t="n">
        <v>182454.72</v>
      </c>
      <c r="P291" s="5" t="n">
        <v>0.6721342355517028</v>
      </c>
      <c r="Q291" s="3" t="n">
        <v>127680</v>
      </c>
      <c r="R291" s="5" t="n">
        <v>0.5314798226033834</v>
      </c>
      <c r="S291" s="3" t="n">
        <v>124.8</v>
      </c>
      <c r="T291" s="5" t="n">
        <v>0.8738599522393725</v>
      </c>
      <c r="U291" s="6" t="n"/>
    </row>
    <row r="292">
      <c r="A292" s="2" t="inlineStr">
        <is>
          <t>LA EMPERATRIZ</t>
        </is>
      </c>
      <c r="B292" s="2" t="inlineStr">
        <is>
          <t>CONSTELACIÓN MESH DRESS</t>
        </is>
      </c>
      <c r="C292" s="2" t="inlineStr">
        <is>
          <t>27VE32/CONST</t>
        </is>
      </c>
      <c r="D292" s="2" t="n">
        <v>8000</v>
      </c>
      <c r="E292" s="3" t="n">
        <v>51220.07</v>
      </c>
      <c r="F292" s="4" t="n">
        <v>10185.03125</v>
      </c>
      <c r="G292" s="3">
        <f>IF(OR(E292="",F292=""),"",E292+F292)</f>
        <v/>
      </c>
      <c r="H292" s="3" t="n">
        <v>73072.07048749999</v>
      </c>
      <c r="I292" s="3" t="n">
        <v>182680.17621875</v>
      </c>
      <c r="J292" s="3" t="n">
        <v>169900</v>
      </c>
      <c r="K292" s="3" t="n">
        <v>78525.21008403362</v>
      </c>
      <c r="L292" s="5" t="n">
        <v>0.2180205416287657</v>
      </c>
      <c r="M292" s="3" t="n">
        <v>99941.17647058824</v>
      </c>
      <c r="N292" s="5" t="n">
        <v>0.3855875684226016</v>
      </c>
      <c r="O292" s="3" t="n">
        <v>182454.72</v>
      </c>
      <c r="P292" s="5" t="n">
        <v>0.6634501905459063</v>
      </c>
      <c r="Q292" s="3" t="n">
        <v>127680</v>
      </c>
      <c r="R292" s="5" t="n">
        <v>0.5190703222901003</v>
      </c>
      <c r="S292" s="3" t="n">
        <v>124.8</v>
      </c>
      <c r="T292" s="5" t="n">
        <v>0.8705189329242577</v>
      </c>
      <c r="U292" s="6" t="n"/>
    </row>
    <row r="293">
      <c r="A293" s="2" t="inlineStr">
        <is>
          <t>LA EMPERATRIZ</t>
        </is>
      </c>
      <c r="B293" s="2" t="inlineStr">
        <is>
          <t>CONSTELACIÓN MESH SHIRT</t>
        </is>
      </c>
      <c r="C293" s="2" t="inlineStr">
        <is>
          <t>27CA36/CONST</t>
        </is>
      </c>
      <c r="D293" s="2" t="n">
        <v>8000</v>
      </c>
      <c r="E293" s="3" t="n">
        <v>30229.34408602151</v>
      </c>
      <c r="F293" s="4" t="n">
        <v>10185.03125</v>
      </c>
      <c r="G293" s="3">
        <f>IF(OR(E293="",F293=""),"",E293+F293)</f>
        <v/>
      </c>
      <c r="H293" s="3" t="n">
        <v>48093.10664986559</v>
      </c>
      <c r="I293" s="3" t="n">
        <v>120232.766624664</v>
      </c>
      <c r="J293" s="3" t="n">
        <v>129900</v>
      </c>
      <c r="K293" s="3" t="n">
        <v>60037.81512605043</v>
      </c>
      <c r="L293" s="5" t="n">
        <v>0.3268513310957298</v>
      </c>
      <c r="M293" s="3" t="n">
        <v>76411.76470588235</v>
      </c>
      <c r="N293" s="5" t="n">
        <v>0.4710974744323591</v>
      </c>
      <c r="O293" s="3" t="n">
        <v>144443.32</v>
      </c>
      <c r="P293" s="5" t="n">
        <v>0.7202059926618862</v>
      </c>
      <c r="Q293" s="3" t="n">
        <v>101080</v>
      </c>
      <c r="R293" s="5" t="n">
        <v>0.6001743635138355</v>
      </c>
      <c r="S293" s="3" t="n">
        <v>98.8</v>
      </c>
      <c r="T293" s="5" t="n">
        <v>0.8923546363306479</v>
      </c>
      <c r="U293" s="6" t="n"/>
    </row>
    <row r="294">
      <c r="A294" s="2" t="inlineStr">
        <is>
          <t>LA EMPERATRIZ</t>
        </is>
      </c>
      <c r="B294" s="2" t="inlineStr">
        <is>
          <t>CONSTELACIÓN MESH LONG SHIRT</t>
        </is>
      </c>
      <c r="C294" s="2" t="inlineStr">
        <is>
          <t>27CA32/CONST</t>
        </is>
      </c>
      <c r="D294" s="2" t="n">
        <v>8000</v>
      </c>
      <c r="E294" s="3" t="n">
        <v>26982</v>
      </c>
      <c r="F294" s="4" t="n">
        <v>10185.03125</v>
      </c>
      <c r="G294" s="3">
        <f>IF(OR(E294="",F294=""),"",E294+F294)</f>
        <v/>
      </c>
      <c r="H294" s="3" t="n">
        <v>44228.7671875</v>
      </c>
      <c r="I294" s="3" t="n">
        <v>110571.91796875</v>
      </c>
      <c r="J294" s="3" t="n">
        <v>119900</v>
      </c>
      <c r="K294" s="3" t="n">
        <v>55415.96638655462</v>
      </c>
      <c r="L294" s="5" t="n">
        <v>0.3293082540374555</v>
      </c>
      <c r="M294" s="3" t="n">
        <v>70529.41176470587</v>
      </c>
      <c r="N294" s="5" t="n">
        <v>0.4730279138865721</v>
      </c>
      <c r="O294" s="3" t="n">
        <v>114034.2</v>
      </c>
      <c r="P294" s="5" t="n">
        <v>0.6740711887310999</v>
      </c>
      <c r="Q294" s="3" t="n">
        <v>79800</v>
      </c>
      <c r="R294" s="5" t="n">
        <v>0.5342477286967419</v>
      </c>
      <c r="S294" s="3" t="n">
        <v>78</v>
      </c>
      <c r="T294" s="5" t="n">
        <v>0.8746051577260459</v>
      </c>
      <c r="U294" s="6" t="n"/>
    </row>
    <row r="295">
      <c r="A295" s="2" t="inlineStr">
        <is>
          <t>LA EMPERATRIZ</t>
        </is>
      </c>
      <c r="B295" s="2" t="inlineStr">
        <is>
          <t>CONSTELACIÓN SLEEP SLEEVELESS SHIRT</t>
        </is>
      </c>
      <c r="C295" s="2" t="inlineStr">
        <is>
          <t>274124/CONST</t>
        </is>
      </c>
      <c r="D295" s="2" t="n">
        <v>8000</v>
      </c>
      <c r="E295" s="3" t="n">
        <v>18336.66</v>
      </c>
      <c r="F295" s="4" t="n">
        <v>10185.03125</v>
      </c>
      <c r="G295" s="3">
        <f>IF(OR(E295="",F295=""),"",E295+F295)</f>
        <v/>
      </c>
      <c r="H295" s="3" t="n">
        <v>33940.8125875</v>
      </c>
      <c r="I295" s="3" t="n">
        <v>84852.03146874999</v>
      </c>
      <c r="J295" s="3" t="n">
        <v>79950</v>
      </c>
      <c r="K295" s="3" t="n">
        <v>36951.68067226891</v>
      </c>
      <c r="L295" s="5" t="n">
        <v>0.2281354804138952</v>
      </c>
      <c r="M295" s="3" t="n">
        <v>47029.41176470588</v>
      </c>
      <c r="N295" s="5" t="n">
        <v>0.3935350203252032</v>
      </c>
      <c r="O295" s="3" t="n">
        <v>49414.82</v>
      </c>
      <c r="P295" s="5" t="n">
        <v>0.4228109856516729</v>
      </c>
      <c r="Q295" s="3" t="n">
        <v>34580</v>
      </c>
      <c r="R295" s="5" t="n">
        <v>0.1751968984962406</v>
      </c>
      <c r="S295" s="3" t="n">
        <v>33.8</v>
      </c>
      <c r="T295" s="5" t="n">
        <v>0.7779376265182186</v>
      </c>
      <c r="U295" s="6" t="n"/>
    </row>
    <row r="296">
      <c r="A296" s="2" t="inlineStr">
        <is>
          <t>LA EMPERATRIZ</t>
        </is>
      </c>
      <c r="B296" s="2" t="inlineStr">
        <is>
          <t>CONSTELACIÓN SLEEP SHORT</t>
        </is>
      </c>
      <c r="C296" s="2" t="inlineStr">
        <is>
          <t>274222/CONST</t>
        </is>
      </c>
      <c r="D296" s="2" t="n">
        <v>8000</v>
      </c>
      <c r="E296" s="3" t="n">
        <v>18737.81</v>
      </c>
      <c r="F296" s="4" t="n">
        <v>10185.03125</v>
      </c>
      <c r="G296" s="3">
        <f>IF(OR(E296="",F296=""),"",E296+F296)</f>
        <v/>
      </c>
      <c r="H296" s="3" t="n">
        <v>34418.1810875</v>
      </c>
      <c r="I296" s="3" t="n">
        <v>86045.45271874999</v>
      </c>
      <c r="J296" s="3" t="n">
        <v>99950</v>
      </c>
      <c r="K296" s="3" t="n">
        <v>46195.37815126051</v>
      </c>
      <c r="L296" s="5" t="n">
        <v>0.373901840238301</v>
      </c>
      <c r="M296" s="3" t="n">
        <v>58794.11764705882</v>
      </c>
      <c r="N296" s="5" t="n">
        <v>0.5080657316158078</v>
      </c>
      <c r="O296" s="3" t="n">
        <v>49414.82</v>
      </c>
      <c r="P296" s="5" t="n">
        <v>0.4146929757105257</v>
      </c>
      <c r="Q296" s="3" t="n">
        <v>34580</v>
      </c>
      <c r="R296" s="5" t="n">
        <v>0.1635962622903412</v>
      </c>
      <c r="S296" s="3" t="n">
        <v>33.8</v>
      </c>
      <c r="T296" s="5" t="n">
        <v>0.7748143783089381</v>
      </c>
      <c r="U296" s="6" t="n"/>
    </row>
    <row r="297">
      <c r="A297" s="2" t="inlineStr">
        <is>
          <t>LA EMPERATRIZ</t>
        </is>
      </c>
      <c r="B297" s="2" t="inlineStr">
        <is>
          <t>CONSTELACIÓN SLEEP LONG SHIRT</t>
        </is>
      </c>
      <c r="C297" s="2" t="inlineStr">
        <is>
          <t>274121/CONST</t>
        </is>
      </c>
      <c r="D297" s="2" t="n">
        <v>8000</v>
      </c>
      <c r="E297" s="3" t="n">
        <v>32611.31</v>
      </c>
      <c r="F297" s="4" t="n">
        <v>10185.03125</v>
      </c>
      <c r="G297" s="3">
        <f>IF(OR(E297="",F297=""),"",E297+F297)</f>
        <v/>
      </c>
      <c r="H297" s="3" t="n">
        <v>50927.6460875</v>
      </c>
      <c r="I297" s="3" t="n">
        <v>127319.11521875</v>
      </c>
      <c r="J297" s="3" t="n">
        <v>99950</v>
      </c>
      <c r="K297" s="3" t="n">
        <v>46195.37815126051</v>
      </c>
      <c r="L297" s="5" t="n">
        <v>0.07357958820319273</v>
      </c>
      <c r="M297" s="3" t="n">
        <v>58794.11764705882</v>
      </c>
      <c r="N297" s="5" t="n">
        <v>0.2720982478739369</v>
      </c>
      <c r="O297" s="3" t="n">
        <v>64619.37999999999</v>
      </c>
      <c r="P297" s="5" t="n">
        <v>0.3377166223198055</v>
      </c>
      <c r="Q297" s="3" t="n">
        <v>45219.99999999999</v>
      </c>
      <c r="R297" s="5" t="n">
        <v>0.05359705329500211</v>
      </c>
      <c r="S297" s="3" t="n">
        <v>44.2</v>
      </c>
      <c r="T297" s="5" t="n">
        <v>0.7451992066563468</v>
      </c>
      <c r="U297" s="6" t="n"/>
    </row>
    <row r="298">
      <c r="A298" s="2" t="inlineStr">
        <is>
          <t>LA EMPERATRIZ</t>
        </is>
      </c>
      <c r="B298" s="2" t="inlineStr">
        <is>
          <t>CONSTELACIÓN SLEEP PANTS</t>
        </is>
      </c>
      <c r="C298" s="2" t="inlineStr">
        <is>
          <t>274323/CONST</t>
        </is>
      </c>
      <c r="D298" s="2" t="n">
        <v>8000</v>
      </c>
      <c r="E298" s="3" t="n">
        <v>28786.53</v>
      </c>
      <c r="F298" s="4" t="n">
        <v>10185.03125</v>
      </c>
      <c r="G298" s="3">
        <f>IF(OR(E298="",F298=""),"",E298+F298)</f>
        <v/>
      </c>
      <c r="H298" s="3" t="n">
        <v>46376.1578875</v>
      </c>
      <c r="I298" s="3" t="n">
        <v>115940.39471875</v>
      </c>
      <c r="J298" s="3" t="n">
        <v>99950</v>
      </c>
      <c r="K298" s="3" t="n">
        <v>46195.37815126051</v>
      </c>
      <c r="L298" s="5" t="n">
        <v>0.1563753169766703</v>
      </c>
      <c r="M298" s="3" t="n">
        <v>58794.11764705882</v>
      </c>
      <c r="N298" s="5" t="n">
        <v>0.3371520347673836</v>
      </c>
      <c r="O298" s="3" t="n">
        <v>57017.1</v>
      </c>
      <c r="P298" s="5" t="n">
        <v>0.3164934510874808</v>
      </c>
      <c r="Q298" s="3" t="n">
        <v>39900</v>
      </c>
      <c r="R298" s="5" t="n">
        <v>0.02326914160401005</v>
      </c>
      <c r="S298" s="3" t="n">
        <v>39</v>
      </c>
      <c r="T298" s="5" t="n">
        <v>0.7370339996626181</v>
      </c>
      <c r="U298" s="6" t="n"/>
    </row>
    <row r="299">
      <c r="A299" s="2" t="inlineStr">
        <is>
          <t>LA EMPERATRIZ</t>
        </is>
      </c>
      <c r="B299" s="2" t="inlineStr">
        <is>
          <t>CONSTELACIÓN SLEEP SHORT SLEEVELESS SHIRT</t>
        </is>
      </c>
      <c r="C299" s="2" t="inlineStr">
        <is>
          <t>274125/CONST</t>
        </is>
      </c>
      <c r="D299" s="2" t="n">
        <v>8000</v>
      </c>
      <c r="E299" s="3" t="n">
        <v>21807.84375</v>
      </c>
      <c r="F299" s="4" t="n">
        <v>10185.03125</v>
      </c>
      <c r="G299" s="3">
        <f>IF(OR(E299="",F299=""),"",E299+F299)</f>
        <v/>
      </c>
      <c r="H299" s="3" t="n">
        <v>38071.52125</v>
      </c>
      <c r="I299" s="3" t="n">
        <v>95178.80312499999</v>
      </c>
      <c r="J299" s="3" t="n">
        <v>89950</v>
      </c>
      <c r="K299" s="3" t="n">
        <v>41573.52941176471</v>
      </c>
      <c r="L299" s="5" t="n">
        <v>0.2304508312698976</v>
      </c>
      <c r="M299" s="3" t="n">
        <v>52911.76470588235</v>
      </c>
      <c r="N299" s="5" t="n">
        <v>0.395354224569205</v>
      </c>
      <c r="O299" s="3" t="n">
        <v>53215.95999999999</v>
      </c>
      <c r="P299" s="5" t="n">
        <v>0.3988105260151277</v>
      </c>
      <c r="Q299" s="3" t="n">
        <v>37239.99999999999</v>
      </c>
      <c r="R299" s="5" t="n">
        <v>0.1409002416756175</v>
      </c>
      <c r="S299" s="3" t="n">
        <v>36.4</v>
      </c>
      <c r="T299" s="5" t="n">
        <v>0.7687039112203586</v>
      </c>
      <c r="U299" s="6" t="n"/>
    </row>
    <row r="300">
      <c r="A300" s="2" t="inlineStr">
        <is>
          <t>LA EMPERATRIZ</t>
        </is>
      </c>
      <c r="B300" s="2" t="inlineStr">
        <is>
          <t>I'M BLACK RING BANDEAU TOP</t>
        </is>
      </c>
      <c r="C300" s="2" t="inlineStr">
        <is>
          <t>273141/BLA</t>
        </is>
      </c>
      <c r="D300" s="2" t="n">
        <v>8000</v>
      </c>
      <c r="E300" s="3" t="n">
        <v>43790</v>
      </c>
      <c r="F300" s="4" t="n">
        <v>10185.03125</v>
      </c>
      <c r="G300" s="3">
        <f>IF(OR(E300="",F300=""),"",E300+F300)</f>
        <v/>
      </c>
      <c r="H300" s="3" t="n">
        <v>64230.2871875</v>
      </c>
      <c r="I300" s="3" t="n">
        <v>160575.71796875</v>
      </c>
      <c r="J300" s="3" t="n">
        <v>139900</v>
      </c>
      <c r="K300" s="3" t="n">
        <v>64659.66386554623</v>
      </c>
      <c r="L300" s="5" t="n">
        <v>0.1652441719734877</v>
      </c>
      <c r="M300" s="3" t="n">
        <v>82294.11764705883</v>
      </c>
      <c r="N300" s="5" t="n">
        <v>0.3441204208363117</v>
      </c>
      <c r="O300" s="3" t="n">
        <v>133039.9</v>
      </c>
      <c r="P300" s="5" t="n">
        <v>0.5942944090457073</v>
      </c>
      <c r="Q300" s="3" t="n">
        <v>93100</v>
      </c>
      <c r="R300" s="5" t="n">
        <v>0.4202467105263158</v>
      </c>
      <c r="S300" s="3" t="n">
        <v>91</v>
      </c>
      <c r="T300" s="5" t="n">
        <v>0.8439125759109312</v>
      </c>
      <c r="U300" s="6" t="n"/>
    </row>
    <row r="301">
      <c r="A301" s="2" t="inlineStr">
        <is>
          <t>LA EMPERATRIZ</t>
        </is>
      </c>
      <c r="B301" s="2" t="inlineStr">
        <is>
          <t>I'M BLACK HIGH WAIST BOTTOM</t>
        </is>
      </c>
      <c r="C301" s="2" t="inlineStr">
        <is>
          <t>273223/BLA</t>
        </is>
      </c>
      <c r="D301" s="2" t="n">
        <v>8000</v>
      </c>
      <c r="E301" s="3" t="n">
        <v>21976.61</v>
      </c>
      <c r="F301" s="4" t="n">
        <v>10185.03125</v>
      </c>
      <c r="G301" s="3">
        <f>IF(OR(E301="",F301=""),"",E301+F301)</f>
        <v/>
      </c>
      <c r="H301" s="3" t="n">
        <v>38272.3530875</v>
      </c>
      <c r="I301" s="3" t="n">
        <v>95680.88271874998</v>
      </c>
      <c r="J301" s="3" t="n">
        <v>109900</v>
      </c>
      <c r="K301" s="3" t="n">
        <v>50794.11764705883</v>
      </c>
      <c r="L301" s="5" t="n">
        <v>0.3668235075275044</v>
      </c>
      <c r="M301" s="3" t="n">
        <v>64647.05882352941</v>
      </c>
      <c r="N301" s="5" t="n">
        <v>0.5025041844858962</v>
      </c>
      <c r="O301" s="3" t="n">
        <v>114034.2</v>
      </c>
      <c r="P301" s="5" t="n">
        <v>0.7179649504271526</v>
      </c>
      <c r="Q301" s="3" t="n">
        <v>79800</v>
      </c>
      <c r="R301" s="5" t="n">
        <v>0.596971914160401</v>
      </c>
      <c r="S301" s="3" t="n">
        <v>78</v>
      </c>
      <c r="T301" s="5" t="n">
        <v>0.8914924384278003</v>
      </c>
      <c r="U301" s="6" t="n"/>
    </row>
    <row r="302">
      <c r="A302" s="2" t="inlineStr">
        <is>
          <t>LA EMPERATRIZ</t>
        </is>
      </c>
      <c r="B302" s="2" t="inlineStr">
        <is>
          <t>I'M BLACK RUCHED STRAPLESS ONE PIECE</t>
        </is>
      </c>
      <c r="C302" s="2" t="inlineStr">
        <is>
          <t>273373/BLA</t>
        </is>
      </c>
      <c r="D302" s="2" t="n">
        <v>8000</v>
      </c>
      <c r="E302" s="3" t="n">
        <v>42622</v>
      </c>
      <c r="F302" s="4" t="n">
        <v>10185.03125</v>
      </c>
      <c r="G302" s="3">
        <f>IF(OR(E302="",F302=""),"",E302+F302)</f>
        <v/>
      </c>
      <c r="H302" s="3" t="n">
        <v>62840.3671875</v>
      </c>
      <c r="I302" s="3" t="n">
        <v>157100.91796875</v>
      </c>
      <c r="J302" s="3" t="n">
        <v>199900</v>
      </c>
      <c r="K302" s="3" t="n">
        <v>92390.75630252103</v>
      </c>
      <c r="L302" s="5" t="n">
        <v>0.428438153735959</v>
      </c>
      <c r="M302" s="3" t="n">
        <v>117588.2352941176</v>
      </c>
      <c r="N302" s="5" t="n">
        <v>0.5509156922211105</v>
      </c>
      <c r="O302" s="3" t="n">
        <v>197659.28</v>
      </c>
      <c r="P302" s="5" t="n">
        <v>0.732838087591941</v>
      </c>
      <c r="Q302" s="3" t="n">
        <v>138320</v>
      </c>
      <c r="R302" s="5" t="n">
        <v>0.6182256271688837</v>
      </c>
      <c r="S302" s="3" t="n">
        <v>135.2</v>
      </c>
      <c r="T302" s="5" t="n">
        <v>0.8972145919300841</v>
      </c>
      <c r="U302" s="6" t="n"/>
    </row>
    <row r="303">
      <c r="A303" s="2" t="inlineStr">
        <is>
          <t>LA EMPERATRIZ</t>
        </is>
      </c>
      <c r="B303" s="2" t="inlineStr">
        <is>
          <t>I'M BLACK RING ONE SHOULDER ONE PIECE</t>
        </is>
      </c>
      <c r="C303" s="2" t="inlineStr">
        <is>
          <t>273374/BLA</t>
        </is>
      </c>
      <c r="D303" s="2" t="n">
        <v>8000</v>
      </c>
      <c r="E303" s="3" t="n">
        <v>43072.76198630137</v>
      </c>
      <c r="F303" s="4" t="n">
        <v>10185.03125</v>
      </c>
      <c r="G303" s="3">
        <f>IF(OR(E303="",F303=""),"",E303+F303)</f>
        <v/>
      </c>
      <c r="H303" s="3" t="n">
        <v>63376.77395119862</v>
      </c>
      <c r="I303" s="3" t="n">
        <v>158441.9348779965</v>
      </c>
      <c r="J303" s="3" t="n">
        <v>199900</v>
      </c>
      <c r="K303" s="3" t="n">
        <v>92390.75630252103</v>
      </c>
      <c r="L303" s="5" t="n">
        <v>0.4235592891791476</v>
      </c>
      <c r="M303" s="3" t="n">
        <v>117588.2352941176</v>
      </c>
      <c r="N303" s="5" t="n">
        <v>0.5470822986407587</v>
      </c>
      <c r="O303" s="3" t="n">
        <v>209062.7</v>
      </c>
      <c r="P303" s="5" t="n">
        <v>0.7452544464588787</v>
      </c>
      <c r="Q303" s="3" t="n">
        <v>146300</v>
      </c>
      <c r="R303" s="5" t="n">
        <v>0.6359686039897378</v>
      </c>
      <c r="S303" s="3" t="n">
        <v>143</v>
      </c>
      <c r="T303" s="5" t="n">
        <v>0.9019915472280062</v>
      </c>
      <c r="U303" s="6" t="n"/>
    </row>
    <row r="304">
      <c r="A304" s="2" t="inlineStr">
        <is>
          <t>LA EMPERATRIZ</t>
        </is>
      </c>
      <c r="B304" s="2" t="inlineStr">
        <is>
          <t>I'M BLACK MACRAME KNIT HALTER TOP</t>
        </is>
      </c>
      <c r="C304" s="2" t="inlineStr">
        <is>
          <t>27CA39/BLA</t>
        </is>
      </c>
      <c r="D304" s="2" t="n">
        <v>8000</v>
      </c>
      <c r="E304" s="3" t="n">
        <v>25774</v>
      </c>
      <c r="F304" s="4" t="n">
        <v>10185.03125</v>
      </c>
      <c r="G304" s="3">
        <f>IF(OR(E304="",F304=""),"",E304+F304)</f>
        <v/>
      </c>
      <c r="H304" s="3" t="n">
        <v>42791.2471875</v>
      </c>
      <c r="I304" s="3" t="n">
        <v>106978.11796875</v>
      </c>
      <c r="J304" s="3" t="n">
        <v>119900</v>
      </c>
      <c r="K304" s="3" t="n">
        <v>55415.96638655462</v>
      </c>
      <c r="L304" s="5" t="n">
        <v>0.3511070257411479</v>
      </c>
      <c r="M304" s="3" t="n">
        <v>70529.41176470587</v>
      </c>
      <c r="N304" s="5" t="n">
        <v>0.4901555202251876</v>
      </c>
      <c r="O304" s="3" t="n">
        <v>121636.48</v>
      </c>
      <c r="P304" s="5" t="n">
        <v>0.7043729705923749</v>
      </c>
      <c r="Q304" s="3" t="n">
        <v>85120</v>
      </c>
      <c r="R304" s="5" t="n">
        <v>0.5775489749765037</v>
      </c>
      <c r="S304" s="3" t="n">
        <v>83.2</v>
      </c>
      <c r="T304" s="5" t="n">
        <v>0.8862631855705971</v>
      </c>
      <c r="U304" s="6" t="n"/>
    </row>
    <row r="305">
      <c r="A305" s="2" t="inlineStr">
        <is>
          <t>LA EMPERATRIZ</t>
        </is>
      </c>
      <c r="B305" s="2" t="inlineStr">
        <is>
          <t>I'M BLACK MACRAME KNIT LONG SKIRT</t>
        </is>
      </c>
      <c r="C305" s="2" t="inlineStr">
        <is>
          <t>27FA27/BLA</t>
        </is>
      </c>
      <c r="D305" s="2" t="n">
        <v>8000</v>
      </c>
      <c r="E305" s="3" t="n">
        <v>45652</v>
      </c>
      <c r="F305" s="4" t="n">
        <v>10185.03125</v>
      </c>
      <c r="G305" s="3">
        <f>IF(OR(E305="",F305=""),"",E305+F305)</f>
        <v/>
      </c>
      <c r="H305" s="3" t="n">
        <v>66446.0671875</v>
      </c>
      <c r="I305" s="3" t="n">
        <v>166115.16796875</v>
      </c>
      <c r="J305" s="3" t="n">
        <v>159900</v>
      </c>
      <c r="K305" s="3" t="n">
        <v>73903.36134453783</v>
      </c>
      <c r="L305" s="5" t="n">
        <v>0.2444588414634148</v>
      </c>
      <c r="M305" s="3" t="n">
        <v>94058.82352941176</v>
      </c>
      <c r="N305" s="5" t="n">
        <v>0.4063605182926829</v>
      </c>
      <c r="O305" s="3" t="n">
        <v>190057</v>
      </c>
      <c r="P305" s="5" t="n">
        <v>0.7062090254502597</v>
      </c>
      <c r="Q305" s="3" t="n">
        <v>133000</v>
      </c>
      <c r="R305" s="5" t="n">
        <v>0.580172697368421</v>
      </c>
      <c r="S305" s="3" t="n">
        <v>130</v>
      </c>
      <c r="T305" s="5" t="n">
        <v>0.886969572368421</v>
      </c>
      <c r="U305" s="6" t="n"/>
    </row>
    <row r="306">
      <c r="A306" s="2" t="inlineStr">
        <is>
          <t>LA EMPERATRIZ</t>
        </is>
      </c>
      <c r="B306" s="2" t="inlineStr">
        <is>
          <t>I'M BLACK RUCHED MAXI SKIRT</t>
        </is>
      </c>
      <c r="C306" s="2" t="inlineStr">
        <is>
          <t>27FA30/BLA</t>
        </is>
      </c>
      <c r="D306" s="2" t="n">
        <v>8000</v>
      </c>
      <c r="E306" s="3" t="n">
        <v>30325</v>
      </c>
      <c r="F306" s="4" t="n">
        <v>10185.03125</v>
      </c>
      <c r="G306" s="3">
        <f>IF(OR(E306="",F306=""),"",E306+F306)</f>
        <v/>
      </c>
      <c r="H306" s="3" t="n">
        <v>48206.9371875</v>
      </c>
      <c r="I306" s="3" t="n">
        <v>120517.34296875</v>
      </c>
      <c r="J306" s="3" t="n">
        <v>129900</v>
      </c>
      <c r="K306" s="3" t="n">
        <v>60037.81512605043</v>
      </c>
      <c r="L306" s="5" t="n">
        <v>0.3252580700188958</v>
      </c>
      <c r="M306" s="3" t="n">
        <v>76411.76470588235</v>
      </c>
      <c r="N306" s="5" t="n">
        <v>0.469845626443418</v>
      </c>
      <c r="O306" s="3" t="n">
        <v>144443.32</v>
      </c>
      <c r="P306" s="5" t="n">
        <v>0.7195437542559946</v>
      </c>
      <c r="Q306" s="3" t="n">
        <v>101080</v>
      </c>
      <c r="R306" s="5" t="n">
        <v>0.5992280248318164</v>
      </c>
      <c r="S306" s="3" t="n">
        <v>98.8</v>
      </c>
      <c r="T306" s="5" t="n">
        <v>0.8920998528393351</v>
      </c>
      <c r="U306" s="6" t="n"/>
    </row>
    <row r="307">
      <c r="A307" s="2" t="inlineStr">
        <is>
          <t>LA EMPERATRIZ</t>
        </is>
      </c>
      <c r="B307" s="2" t="inlineStr">
        <is>
          <t>I'M BLACK CARGO PANTS</t>
        </is>
      </c>
      <c r="C307" s="2" t="inlineStr">
        <is>
          <t>26PA25/BLA</t>
        </is>
      </c>
      <c r="D307" s="2" t="n">
        <v>8000</v>
      </c>
      <c r="E307" s="3" t="n">
        <v>64756.51568253968</v>
      </c>
      <c r="F307" s="4" t="n">
        <v>10185.03125</v>
      </c>
      <c r="G307" s="3">
        <f>IF(OR(E307="",F307=""),"",E307+F307)</f>
        <v/>
      </c>
      <c r="H307" s="3" t="n">
        <v>89180.44084972222</v>
      </c>
      <c r="I307" s="3" t="n">
        <v>222951.1021243055</v>
      </c>
      <c r="J307" s="3" t="n">
        <v>189900</v>
      </c>
      <c r="K307" s="3" t="n">
        <v>87768.90756302522</v>
      </c>
      <c r="L307" s="5" t="n">
        <v>0.1461492570278882</v>
      </c>
      <c r="M307" s="3" t="n">
        <v>111705.8823529412</v>
      </c>
      <c r="N307" s="5" t="n">
        <v>0.3291172733790549</v>
      </c>
      <c r="O307" s="3" t="n">
        <v>212863.84</v>
      </c>
      <c r="P307" s="5" t="n">
        <v>0.6479366954362015</v>
      </c>
      <c r="Q307" s="3" t="n">
        <v>148960</v>
      </c>
      <c r="R307" s="5" t="n">
        <v>0.4969015377783318</v>
      </c>
      <c r="S307" s="3" t="n">
        <v>145.6</v>
      </c>
      <c r="T307" s="5" t="n">
        <v>0.8645504140172432</v>
      </c>
      <c r="U307" s="6" t="n"/>
    </row>
    <row r="308">
      <c r="A308" s="2" t="inlineStr">
        <is>
          <t>LA EMPERATRIZ</t>
        </is>
      </c>
      <c r="B308" s="2" t="inlineStr">
        <is>
          <t>I'M WHITE CARGO PANTS</t>
        </is>
      </c>
      <c r="C308" s="2" t="inlineStr">
        <is>
          <t>26PA25/WHT</t>
        </is>
      </c>
      <c r="D308" s="2" t="n">
        <v>8000</v>
      </c>
      <c r="E308" s="3" t="n">
        <v>64756.51568253968</v>
      </c>
      <c r="F308" s="4" t="n">
        <v>10185.03125</v>
      </c>
      <c r="G308" s="3">
        <f>IF(OR(E308="",F308=""),"",E308+F308)</f>
        <v/>
      </c>
      <c r="H308" s="3" t="n">
        <v>89180.44084972222</v>
      </c>
      <c r="I308" s="3" t="n">
        <v>222951.1021243055</v>
      </c>
      <c r="J308" s="3" t="n">
        <v>189900</v>
      </c>
      <c r="K308" s="3" t="n">
        <v>87768.90756302522</v>
      </c>
      <c r="L308" s="5" t="n">
        <v>0.1461492570278882</v>
      </c>
      <c r="M308" s="3" t="n">
        <v>111705.8823529412</v>
      </c>
      <c r="N308" s="5" t="n">
        <v>0.3291172733790549</v>
      </c>
      <c r="O308" s="3" t="n">
        <v>212863.84</v>
      </c>
      <c r="P308" s="5" t="n">
        <v>0.6479366954362015</v>
      </c>
      <c r="Q308" s="3" t="n">
        <v>148960</v>
      </c>
      <c r="R308" s="5" t="n">
        <v>0.4969015377783318</v>
      </c>
      <c r="S308" s="3" t="n">
        <v>145.6</v>
      </c>
      <c r="T308" s="5" t="n">
        <v>0.8645504140172432</v>
      </c>
      <c r="U308" s="6" t="n"/>
    </row>
    <row r="309">
      <c r="A309" s="2" t="inlineStr">
        <is>
          <t>LA EMPERATRIZ</t>
        </is>
      </c>
      <c r="B309" s="2" t="inlineStr">
        <is>
          <t>I'M IVORY MESH DOUBLE STRAP TRIANGLE TOP</t>
        </is>
      </c>
      <c r="C309" s="2" t="inlineStr">
        <is>
          <t>273178/IVRY</t>
        </is>
      </c>
      <c r="D309" s="2" t="n">
        <v>8000</v>
      </c>
      <c r="E309" s="3" t="n">
        <v>31318.24892307692</v>
      </c>
      <c r="F309" s="4" t="n">
        <v>10185.03125</v>
      </c>
      <c r="G309" s="3">
        <f>IF(OR(E309="",F309=""),"",E309+F309)</f>
        <v/>
      </c>
      <c r="H309" s="3" t="n">
        <v>49388.90340596154</v>
      </c>
      <c r="I309" s="3" t="n">
        <v>123472.2585149038</v>
      </c>
      <c r="J309" s="3" t="n">
        <v>129900</v>
      </c>
      <c r="K309" s="3" t="n">
        <v>60037.81512605043</v>
      </c>
      <c r="L309" s="5" t="n">
        <v>0.3087143480164947</v>
      </c>
      <c r="M309" s="3" t="n">
        <v>76411.76470588235</v>
      </c>
      <c r="N309" s="5" t="n">
        <v>0.4568469877272457</v>
      </c>
      <c r="O309" s="3" t="n">
        <v>121636.48</v>
      </c>
      <c r="P309" s="5" t="n">
        <v>0.6587924924078951</v>
      </c>
      <c r="Q309" s="3" t="n">
        <v>85120</v>
      </c>
      <c r="R309" s="5" t="n">
        <v>0.5124144716508819</v>
      </c>
      <c r="S309" s="3" t="n">
        <v>83.2</v>
      </c>
      <c r="T309" s="5" t="n">
        <v>0.868726973136776</v>
      </c>
      <c r="U309" s="6" t="n"/>
    </row>
    <row r="310">
      <c r="A310" s="2" t="inlineStr">
        <is>
          <t>LA EMPERATRIZ</t>
        </is>
      </c>
      <c r="B310" s="2" t="inlineStr">
        <is>
          <t>I'M IVORY MESH STRAP TIE SIDE BOTTOM</t>
        </is>
      </c>
      <c r="C310" s="2" t="inlineStr">
        <is>
          <t>273243/IVRY</t>
        </is>
      </c>
      <c r="D310" s="2" t="n">
        <v>8000</v>
      </c>
      <c r="E310" s="3" t="n">
        <v>28402.929105</v>
      </c>
      <c r="F310" s="4" t="n">
        <v>10185.03125</v>
      </c>
      <c r="G310" s="3">
        <f>IF(OR(E310="",F310=""),"",E310+F310)</f>
        <v/>
      </c>
      <c r="H310" s="3" t="n">
        <v>45919.67282245</v>
      </c>
      <c r="I310" s="3" t="n">
        <v>114799.182056125</v>
      </c>
      <c r="J310" s="3" t="n">
        <v>119900</v>
      </c>
      <c r="K310" s="3" t="n">
        <v>55415.96638655462</v>
      </c>
      <c r="L310" s="5" t="n">
        <v>0.3036671040647509</v>
      </c>
      <c r="M310" s="3" t="n">
        <v>70529.41176470587</v>
      </c>
      <c r="N310" s="5" t="n">
        <v>0.4528812960508756</v>
      </c>
      <c r="O310" s="3" t="n">
        <v>106431.92</v>
      </c>
      <c r="P310" s="5" t="n">
        <v>0.6374399676807483</v>
      </c>
      <c r="Q310" s="3" t="n">
        <v>74479.99999999999</v>
      </c>
      <c r="R310" s="5" t="n">
        <v>0.4819017138157893</v>
      </c>
      <c r="S310" s="3" t="n">
        <v>72.8</v>
      </c>
      <c r="T310" s="5" t="n">
        <v>0.8605119998734818</v>
      </c>
      <c r="U310" s="6" t="n"/>
    </row>
    <row r="311">
      <c r="A311" s="2" t="inlineStr">
        <is>
          <t>LA EMPERATRIZ</t>
        </is>
      </c>
      <c r="B311" s="2" t="inlineStr">
        <is>
          <t>I'M IVORY MESH HALTER STRAP ONE PIECE</t>
        </is>
      </c>
      <c r="C311" s="2" t="inlineStr">
        <is>
          <t>273375/IVRY</t>
        </is>
      </c>
      <c r="D311" s="2" t="n">
        <v>8000</v>
      </c>
      <c r="E311" s="3" t="n">
        <v>52580.91</v>
      </c>
      <c r="F311" s="4" t="n">
        <v>10185.03125</v>
      </c>
      <c r="G311" s="3">
        <f>IF(OR(E311="",F311=""),"",E311+F311)</f>
        <v/>
      </c>
      <c r="H311" s="3" t="n">
        <v>74691.4700875</v>
      </c>
      <c r="I311" s="3" t="n">
        <v>186728.67521875</v>
      </c>
      <c r="J311" s="3" t="n">
        <v>199900</v>
      </c>
      <c r="K311" s="3" t="n">
        <v>92390.75630252103</v>
      </c>
      <c r="L311" s="5" t="n">
        <v>0.3206469590477057</v>
      </c>
      <c r="M311" s="3" t="n">
        <v>117588.2352941176</v>
      </c>
      <c r="N311" s="5" t="n">
        <v>0.4662226106803401</v>
      </c>
      <c r="O311" s="3" t="n">
        <v>209062.7</v>
      </c>
      <c r="P311" s="5" t="n">
        <v>0.6997745592590165</v>
      </c>
      <c r="Q311" s="3" t="n">
        <v>146300</v>
      </c>
      <c r="R311" s="5" t="n">
        <v>0.5709778451811346</v>
      </c>
      <c r="S311" s="3" t="n">
        <v>143</v>
      </c>
      <c r="T311" s="5" t="n">
        <v>0.8844940352410746</v>
      </c>
      <c r="U311" s="6" t="n"/>
    </row>
    <row r="312">
      <c r="A312" s="2" t="inlineStr">
        <is>
          <t>LA EMPERATRIZ</t>
        </is>
      </c>
      <c r="B312" s="2" t="inlineStr">
        <is>
          <t>I'M IVORY MESH KNIT SHIRT</t>
        </is>
      </c>
      <c r="C312" s="2" t="inlineStr">
        <is>
          <t>27CA37/IVRY</t>
        </is>
      </c>
      <c r="D312" s="2" t="n">
        <v>8000</v>
      </c>
      <c r="E312" s="3" t="n">
        <v>39513.2555555556</v>
      </c>
      <c r="F312" s="4" t="n">
        <v>10185.03125</v>
      </c>
      <c r="G312" s="3">
        <f>IF(OR(E312="",F312=""),"",E312+F312)</f>
        <v/>
      </c>
      <c r="H312" s="3" t="n">
        <v>59140.96129861117</v>
      </c>
      <c r="I312" s="3" t="n">
        <v>147852.4032465279</v>
      </c>
      <c r="J312" s="3" t="n">
        <v>149900</v>
      </c>
      <c r="K312" s="3" t="n">
        <v>69281.51260504202</v>
      </c>
      <c r="L312" s="5" t="n">
        <v>0.2826616374721188</v>
      </c>
      <c r="M312" s="3" t="n">
        <v>88176.4705882353</v>
      </c>
      <c r="N312" s="5" t="n">
        <v>0.4363770008709505</v>
      </c>
      <c r="O312" s="3" t="n">
        <v>152045.6</v>
      </c>
      <c r="P312" s="5" t="n">
        <v>0.6731356461117217</v>
      </c>
      <c r="Q312" s="3" t="n">
        <v>106400</v>
      </c>
      <c r="R312" s="5" t="n">
        <v>0.5329108382936504</v>
      </c>
      <c r="S312" s="3" t="n">
        <v>104</v>
      </c>
      <c r="T312" s="5" t="n">
        <v>0.8742452256944444</v>
      </c>
      <c r="U312" s="6" t="n"/>
    </row>
    <row r="313">
      <c r="A313" s="2" t="inlineStr">
        <is>
          <t>LA EMPERATRIZ</t>
        </is>
      </c>
      <c r="B313" s="2" t="inlineStr">
        <is>
          <t>I'M IVORY MESH KNIT PANTS</t>
        </is>
      </c>
      <c r="C313" s="2" t="inlineStr">
        <is>
          <t>27PA26/IVRY</t>
        </is>
      </c>
      <c r="D313" s="2" t="n">
        <v>8000</v>
      </c>
      <c r="E313" s="3" t="n">
        <v>47192.70193548387</v>
      </c>
      <c r="F313" s="4" t="n">
        <v>10185.03125</v>
      </c>
      <c r="G313" s="3">
        <f>IF(OR(E313="",F313=""),"",E313+F313)</f>
        <v/>
      </c>
      <c r="H313" s="3" t="n">
        <v>68279.5024907258</v>
      </c>
      <c r="I313" s="3" t="n">
        <v>170698.7562268145</v>
      </c>
      <c r="J313" s="3" t="n">
        <v>159900</v>
      </c>
      <c r="K313" s="3" t="n">
        <v>73903.36134453783</v>
      </c>
      <c r="L313" s="5" t="n">
        <v>0.2236113196801888</v>
      </c>
      <c r="M313" s="3" t="n">
        <v>94058.82352941176</v>
      </c>
      <c r="N313" s="5" t="n">
        <v>0.3899803226058625</v>
      </c>
      <c r="O313" s="3" t="n">
        <v>174852.44</v>
      </c>
      <c r="P313" s="5" t="n">
        <v>0.671850543318218</v>
      </c>
      <c r="Q313" s="3" t="n">
        <v>122360</v>
      </c>
      <c r="R313" s="5" t="n">
        <v>0.5310744264017336</v>
      </c>
      <c r="S313" s="3" t="n">
        <v>119.6</v>
      </c>
      <c r="T313" s="5" t="n">
        <v>0.873750807108159</v>
      </c>
      <c r="U313" s="6" t="n"/>
    </row>
    <row r="314">
      <c r="A314" s="2" t="inlineStr">
        <is>
          <t>LA EMPERATRIZ</t>
        </is>
      </c>
      <c r="B314" s="2" t="inlineStr">
        <is>
          <t>I'M IVORY LARGE RUFFLE MESH PAREO</t>
        </is>
      </c>
      <c r="C314" s="2" t="inlineStr">
        <is>
          <t>27RE30/IVRY</t>
        </is>
      </c>
      <c r="D314" s="2" t="n">
        <v>8000</v>
      </c>
      <c r="E314" s="3" t="n">
        <v>40542.756</v>
      </c>
      <c r="F314" s="4" t="n">
        <v>10185.03125</v>
      </c>
      <c r="G314" s="3">
        <f>IF(OR(E314="",F314=""),"",E314+F314)</f>
        <v/>
      </c>
      <c r="H314" s="3" t="n">
        <v>60366.0668275</v>
      </c>
      <c r="I314" s="3" t="n">
        <v>150915.16706875</v>
      </c>
      <c r="J314" s="3" t="n">
        <v>159900</v>
      </c>
      <c r="K314" s="3" t="n">
        <v>73903.36134453783</v>
      </c>
      <c r="L314" s="5" t="n">
        <v>0.313592963471488</v>
      </c>
      <c r="M314" s="3" t="n">
        <v>94058.82352941176</v>
      </c>
      <c r="N314" s="5" t="n">
        <v>0.4606801855847404</v>
      </c>
      <c r="O314" s="3" t="n">
        <v>136841.04</v>
      </c>
      <c r="P314" s="5" t="n">
        <v>0.629294053523709</v>
      </c>
      <c r="Q314" s="3" t="n">
        <v>95760</v>
      </c>
      <c r="R314" s="5" t="n">
        <v>0.4702612024853801</v>
      </c>
      <c r="S314" s="3" t="n">
        <v>93.60000000000001</v>
      </c>
      <c r="T314" s="5" t="n">
        <v>0.8573780160537562</v>
      </c>
      <c r="U314" s="6" t="n"/>
    </row>
    <row r="315">
      <c r="A315" s="2" t="inlineStr">
        <is>
          <t>LA EMPERATRIZ</t>
        </is>
      </c>
      <c r="B315" s="2" t="inlineStr">
        <is>
          <t>I'M WHITE LARGE RUFFLE KNIT PAREO</t>
        </is>
      </c>
      <c r="C315" s="2" t="inlineStr">
        <is>
          <t>27RE31/WHT</t>
        </is>
      </c>
      <c r="D315" s="2" t="n">
        <v>8000</v>
      </c>
      <c r="E315" s="3" t="n">
        <v>50842.92</v>
      </c>
      <c r="F315" s="4" t="n">
        <v>10185.03125</v>
      </c>
      <c r="G315" s="3">
        <f>IF(OR(E315="",F315=""),"",E315+F315)</f>
        <v/>
      </c>
      <c r="H315" s="3" t="n">
        <v>72623.26198749999</v>
      </c>
      <c r="I315" s="3" t="n">
        <v>181558.15496875</v>
      </c>
      <c r="J315" s="3" t="n">
        <v>169900</v>
      </c>
      <c r="K315" s="3" t="n">
        <v>78525.21008403362</v>
      </c>
      <c r="L315" s="5" t="n">
        <v>0.222823457782653</v>
      </c>
      <c r="M315" s="3" t="n">
        <v>99941.17647058824</v>
      </c>
      <c r="N315" s="5" t="n">
        <v>0.3893612882577988</v>
      </c>
      <c r="O315" s="3" t="n">
        <v>144443.32</v>
      </c>
      <c r="P315" s="5" t="n">
        <v>0.5774955100035086</v>
      </c>
      <c r="Q315" s="3" t="n">
        <v>101080</v>
      </c>
      <c r="R315" s="5" t="n">
        <v>0.3962410837950138</v>
      </c>
      <c r="S315" s="3" t="n">
        <v>98.8</v>
      </c>
      <c r="T315" s="5" t="n">
        <v>0.8374495225601961</v>
      </c>
      <c r="U315" s="6" t="n"/>
    </row>
    <row r="316">
      <c r="A316" s="2" t="inlineStr">
        <is>
          <t>LA EMPERATRIZ</t>
        </is>
      </c>
      <c r="B316" s="2" t="inlineStr">
        <is>
          <t>I'M NUDE ESSENTIAL TOP</t>
        </is>
      </c>
      <c r="C316" s="2" t="inlineStr">
        <is>
          <t>275120/NUD</t>
        </is>
      </c>
      <c r="D316" s="2" t="n">
        <v>8000</v>
      </c>
      <c r="E316" s="3" t="n">
        <v>16457</v>
      </c>
      <c r="F316" s="4" t="n">
        <v>10185.03125</v>
      </c>
      <c r="G316" s="3">
        <f>IF(OR(E316="",F316=""),"",E316+F316)</f>
        <v/>
      </c>
      <c r="H316" s="3" t="n">
        <v>31704.0171875</v>
      </c>
      <c r="I316" s="3" t="n">
        <v>79260.04296875</v>
      </c>
      <c r="J316" s="3" t="n">
        <v>59900</v>
      </c>
      <c r="K316" s="3" t="n">
        <v>27684.87394957984</v>
      </c>
      <c r="L316" s="5" t="n">
        <v>0.03766832030657171</v>
      </c>
      <c r="M316" s="3" t="n">
        <v>35235.29411764706</v>
      </c>
      <c r="N316" s="5" t="n">
        <v>0.243882251669449</v>
      </c>
      <c r="O316" s="3" t="n">
        <v>57017.1</v>
      </c>
      <c r="P316" s="5" t="n">
        <v>0.5327361221458123</v>
      </c>
      <c r="Q316" s="3" t="n">
        <v>39900</v>
      </c>
      <c r="R316" s="5" t="n">
        <v>0.3322799185463659</v>
      </c>
      <c r="S316" s="3" t="n">
        <v>39</v>
      </c>
      <c r="T316" s="5" t="n">
        <v>0.8202292088394062</v>
      </c>
      <c r="U316" s="6" t="n"/>
    </row>
    <row r="317">
      <c r="A317" s="2" t="inlineStr">
        <is>
          <t>LA EMPERATRIZ</t>
        </is>
      </c>
      <c r="B317" s="2" t="inlineStr">
        <is>
          <t>I'M BURGUNDY ESSENTIAL TOP</t>
        </is>
      </c>
      <c r="C317" s="2" t="inlineStr">
        <is>
          <t>275120/BURG</t>
        </is>
      </c>
      <c r="D317" s="2" t="n">
        <v>8000</v>
      </c>
      <c r="E317" s="3" t="n">
        <v>16457</v>
      </c>
      <c r="F317" s="4" t="n">
        <v>10185.03125</v>
      </c>
      <c r="G317" s="3">
        <f>IF(OR(E317="",F317=""),"",E317+F317)</f>
        <v/>
      </c>
      <c r="H317" s="3" t="n">
        <v>31704.0171875</v>
      </c>
      <c r="I317" s="3" t="n">
        <v>79260.04296875</v>
      </c>
      <c r="J317" s="3" t="n">
        <v>59900</v>
      </c>
      <c r="K317" s="3" t="n">
        <v>27684.87394957984</v>
      </c>
      <c r="L317" s="5" t="n">
        <v>0.03766832030657171</v>
      </c>
      <c r="M317" s="3" t="n">
        <v>35235.29411764706</v>
      </c>
      <c r="N317" s="5" t="n">
        <v>0.243882251669449</v>
      </c>
      <c r="O317" s="3" t="n">
        <v>57017.1</v>
      </c>
      <c r="P317" s="5" t="n">
        <v>0.5327361221458123</v>
      </c>
      <c r="Q317" s="3" t="n">
        <v>39900</v>
      </c>
      <c r="R317" s="5" t="n">
        <v>0.3322799185463659</v>
      </c>
      <c r="S317" s="3" t="n">
        <v>39</v>
      </c>
      <c r="T317" s="5" t="n">
        <v>0.8202292088394062</v>
      </c>
      <c r="U317" s="6" t="n"/>
    </row>
    <row r="318">
      <c r="A318" s="2" t="inlineStr">
        <is>
          <t>LA EMPERATRIZ</t>
        </is>
      </c>
      <c r="B318" s="2" t="inlineStr">
        <is>
          <t>I'M CHOCOLATE ESSENTIAL TOP</t>
        </is>
      </c>
      <c r="C318" s="2" t="inlineStr">
        <is>
          <t>275120/CHOLT</t>
        </is>
      </c>
      <c r="D318" s="2" t="n">
        <v>8000</v>
      </c>
      <c r="E318" s="3" t="n">
        <v>16457</v>
      </c>
      <c r="F318" s="4" t="n">
        <v>10185.03125</v>
      </c>
      <c r="G318" s="3">
        <f>IF(OR(E318="",F318=""),"",E318+F318)</f>
        <v/>
      </c>
      <c r="H318" s="3" t="n">
        <v>31704.0171875</v>
      </c>
      <c r="I318" s="3" t="n">
        <v>79260.04296875</v>
      </c>
      <c r="J318" s="3" t="n">
        <v>59900</v>
      </c>
      <c r="K318" s="3" t="n">
        <v>27684.87394957984</v>
      </c>
      <c r="L318" s="5" t="n">
        <v>0.03766832030657171</v>
      </c>
      <c r="M318" s="3" t="n">
        <v>35235.29411764706</v>
      </c>
      <c r="N318" s="5" t="n">
        <v>0.243882251669449</v>
      </c>
      <c r="O318" s="3" t="n">
        <v>57017.1</v>
      </c>
      <c r="P318" s="5" t="n">
        <v>0.5327361221458123</v>
      </c>
      <c r="Q318" s="3" t="n">
        <v>39900</v>
      </c>
      <c r="R318" s="5" t="n">
        <v>0.3322799185463659</v>
      </c>
      <c r="S318" s="3" t="n">
        <v>39</v>
      </c>
      <c r="T318" s="5" t="n">
        <v>0.8202292088394062</v>
      </c>
      <c r="U318" s="6" t="n"/>
    </row>
    <row r="319">
      <c r="A319" s="2" t="inlineStr">
        <is>
          <t>LA EMPERATRIZ</t>
        </is>
      </c>
      <c r="B319" s="2" t="inlineStr">
        <is>
          <t>GALAXIA CHEEKY FULL BOTTOM</t>
        </is>
      </c>
      <c r="C319" s="2" t="inlineStr">
        <is>
          <t>273240/GAXA</t>
        </is>
      </c>
      <c r="D319" s="2" t="n">
        <v>8000</v>
      </c>
      <c r="E319" s="3" t="n">
        <v>30111.429105</v>
      </c>
      <c r="F319" s="4" t="n">
        <v>10185.03125</v>
      </c>
      <c r="G319" s="3">
        <f>IF(OR(E319="",F319=""),"",E319+F319)</f>
        <v/>
      </c>
      <c r="H319" s="3" t="n">
        <v>47952.78782245</v>
      </c>
      <c r="I319" s="3" t="n">
        <v>119881.969556125</v>
      </c>
      <c r="J319" s="3" t="n">
        <v>119900</v>
      </c>
      <c r="K319" s="3" t="n">
        <v>55415.96638655462</v>
      </c>
      <c r="L319" s="5" t="n">
        <v>0.2728366392834938</v>
      </c>
      <c r="M319" s="3" t="n">
        <v>70529.41176470587</v>
      </c>
      <c r="N319" s="5" t="n">
        <v>0.4286573594370308</v>
      </c>
      <c r="O319" s="3" t="n">
        <v>110233.06</v>
      </c>
      <c r="P319" s="5" t="n">
        <v>0.6344430576906782</v>
      </c>
      <c r="Q319" s="3" t="n">
        <v>77139.99999999999</v>
      </c>
      <c r="R319" s="5" t="n">
        <v>0.4776191294399791</v>
      </c>
      <c r="S319" s="3" t="n">
        <v>75.40000000000001</v>
      </c>
      <c r="T319" s="5" t="n">
        <v>0.8593589963876868</v>
      </c>
      <c r="U319" s="6" t="n"/>
    </row>
    <row r="320">
      <c r="A320" s="2" t="inlineStr">
        <is>
          <t>LA EMPERATRIZ</t>
        </is>
      </c>
      <c r="B320" s="2" t="inlineStr">
        <is>
          <t>I'M WHITE RUCHED MAXI SKIRT</t>
        </is>
      </c>
      <c r="C320" s="2" t="inlineStr">
        <is>
          <t>27FA30/WHT</t>
        </is>
      </c>
      <c r="D320" s="2" t="n">
        <v>8000</v>
      </c>
      <c r="E320" s="3" t="n">
        <v>30325</v>
      </c>
      <c r="F320" s="4" t="n">
        <v>10185.03125</v>
      </c>
      <c r="G320" s="3">
        <f>IF(OR(E320="",F320=""),"",E320+F320)</f>
        <v/>
      </c>
      <c r="H320" s="3" t="n">
        <v>48206.9371875</v>
      </c>
      <c r="I320" s="3" t="n">
        <v>120517.34296875</v>
      </c>
      <c r="J320" s="3" t="n">
        <v>129900</v>
      </c>
      <c r="K320" s="3" t="n">
        <v>60037.81512605043</v>
      </c>
      <c r="L320" s="5" t="n">
        <v>0.3252580700188958</v>
      </c>
      <c r="M320" s="3" t="n">
        <v>76411.76470588235</v>
      </c>
      <c r="N320" s="5" t="n">
        <v>0.469845626443418</v>
      </c>
      <c r="O320" s="3" t="n">
        <v>144443.32</v>
      </c>
      <c r="P320" s="5" t="n">
        <v>0.7195437542559946</v>
      </c>
      <c r="Q320" s="3" t="n">
        <v>101080</v>
      </c>
      <c r="R320" s="5" t="n">
        <v>0.5992280248318164</v>
      </c>
      <c r="S320" s="3" t="n">
        <v>98.8</v>
      </c>
      <c r="T320" s="5" t="n">
        <v>0.8920998528393351</v>
      </c>
      <c r="U320" s="6" t="n"/>
    </row>
    <row r="321">
      <c r="A321" s="2" t="inlineStr">
        <is>
          <t>LA EMPERATRIZ</t>
        </is>
      </c>
      <c r="B321" s="2" t="inlineStr">
        <is>
          <t>PAÑOLETA</t>
        </is>
      </c>
      <c r="C321" s="2" t="n"/>
      <c r="D321" s="2" t="n">
        <v>8000</v>
      </c>
      <c r="E321" s="3" t="n">
        <v>15524</v>
      </c>
      <c r="F321" s="4" t="n"/>
      <c r="G321" s="3">
        <f>IF(OR(E321="",F321=""),"",E321+F321)</f>
        <v/>
      </c>
      <c r="H321" s="3" t="n">
        <v>18473.56</v>
      </c>
      <c r="I321" s="3" t="n">
        <v>46183.9</v>
      </c>
      <c r="J321" s="3" t="n">
        <v>59900</v>
      </c>
      <c r="K321" s="3" t="n">
        <v>27684.87394957984</v>
      </c>
      <c r="L321" s="5" t="n">
        <v>0.4392605858248597</v>
      </c>
      <c r="M321" s="3" t="n">
        <v>35235.29411764706</v>
      </c>
      <c r="N321" s="5" t="n">
        <v>0.5594190317195326</v>
      </c>
      <c r="O321" s="3" t="n">
        <v>53215.95999999999</v>
      </c>
      <c r="P321" s="5" t="n">
        <v>0.7082830038206582</v>
      </c>
      <c r="Q321" s="3" t="n">
        <v>37239.99999999999</v>
      </c>
      <c r="R321" s="5" t="n">
        <v>0.5831364124597207</v>
      </c>
      <c r="S321" s="3" t="n">
        <v>36.4</v>
      </c>
      <c r="T321" s="5" t="n">
        <v>0.8877674956622325</v>
      </c>
      <c r="U321" s="7" t="inlineStr">
        <is>
          <t>Falta costo indirecto asignado en el archivo original; Falta código de referencia (SKU) en el archivo original</t>
        </is>
      </c>
    </row>
    <row r="322">
      <c r="A322" s="2" t="inlineStr">
        <is>
          <t>SECRET GARDEN</t>
        </is>
      </c>
      <c r="B322" s="2" t="inlineStr">
        <is>
          <t>LUCKY CHARM MESH LONG DRESS</t>
        </is>
      </c>
      <c r="C322" s="2" t="inlineStr">
        <is>
          <t>25VE36/LUCH</t>
        </is>
      </c>
      <c r="D322" s="2" t="n">
        <v>5000</v>
      </c>
      <c r="E322" s="3" t="n">
        <v>48425</v>
      </c>
      <c r="F322" s="4" t="n">
        <v>11926</v>
      </c>
      <c r="G322" s="3">
        <f>IF(OR(E322="",F322=""),"",E322+F322)</f>
        <v/>
      </c>
      <c r="H322" s="3" t="n">
        <v>71817.69</v>
      </c>
      <c r="I322" s="3" t="n">
        <v>179544.225</v>
      </c>
      <c r="J322" s="3" t="n">
        <v>169900</v>
      </c>
      <c r="K322" s="3" t="n">
        <v>78525.21008403362</v>
      </c>
      <c r="L322" s="5" t="n">
        <v>0.2314442720316764</v>
      </c>
      <c r="M322" s="3" t="n">
        <v>99941.17647058824</v>
      </c>
      <c r="N322" s="5" t="n">
        <v>0.3961347851677458</v>
      </c>
      <c r="O322" s="3" t="n">
        <v>182454.72</v>
      </c>
      <c r="P322" s="5" t="n">
        <v>0.669227521217319</v>
      </c>
      <c r="Q322" s="3" t="n">
        <v>127680</v>
      </c>
      <c r="R322" s="5" t="n">
        <v>0.5273261278195488</v>
      </c>
      <c r="S322" s="3" t="n">
        <v>124.8</v>
      </c>
      <c r="T322" s="5" t="n">
        <v>0.8727416497975709</v>
      </c>
      <c r="U322" s="6" t="n"/>
    </row>
    <row r="323">
      <c r="A323" s="2" t="inlineStr">
        <is>
          <t>SECRET GARDEN</t>
        </is>
      </c>
      <c r="B323" s="2" t="inlineStr">
        <is>
          <t>LUCKY CHARM MESH BANDEAU LONG SHIRT</t>
        </is>
      </c>
      <c r="C323" s="2" t="inlineStr">
        <is>
          <t>25CA34/LUCH</t>
        </is>
      </c>
      <c r="D323" s="2" t="n">
        <v>5000</v>
      </c>
      <c r="E323" s="3" t="n">
        <v>38406.38888888889</v>
      </c>
      <c r="F323" s="4" t="n">
        <v>11926</v>
      </c>
      <c r="G323" s="3">
        <f>IF(OR(E323="",F323=""),"",E323+F323)</f>
        <v/>
      </c>
      <c r="H323" s="3" t="n">
        <v>59895.54277777778</v>
      </c>
      <c r="I323" s="3" t="n">
        <v>149738.8569444444</v>
      </c>
      <c r="J323" s="3" t="n">
        <v>139900</v>
      </c>
      <c r="K323" s="3" t="n">
        <v>64659.66386554623</v>
      </c>
      <c r="L323" s="5" t="n">
        <v>0.2215797936476994</v>
      </c>
      <c r="M323" s="3" t="n">
        <v>82294.11764705883</v>
      </c>
      <c r="N323" s="5" t="n">
        <v>0.3883841235803351</v>
      </c>
      <c r="O323" s="3" t="n">
        <v>136841.04</v>
      </c>
      <c r="P323" s="5" t="n">
        <v>0.6321835255791034</v>
      </c>
      <c r="Q323" s="3" t="n">
        <v>95760</v>
      </c>
      <c r="R323" s="5" t="n">
        <v>0.4743902580525388</v>
      </c>
      <c r="S323" s="3" t="n">
        <v>93.60000000000001</v>
      </c>
      <c r="T323" s="5" t="n">
        <v>0.858489684860299</v>
      </c>
      <c r="U323" s="6" t="n"/>
    </row>
    <row r="324">
      <c r="A324" s="2" t="inlineStr">
        <is>
          <t>SECRET GARDEN</t>
        </is>
      </c>
      <c r="B324" s="2" t="inlineStr">
        <is>
          <t>LUCKY CHARM MESH LONG SHIRT</t>
        </is>
      </c>
      <c r="C324" s="2" t="inlineStr">
        <is>
          <t>25CA32/LUCH</t>
        </is>
      </c>
      <c r="D324" s="2" t="n">
        <v>5000</v>
      </c>
      <c r="E324" s="3" t="n">
        <v>30552</v>
      </c>
      <c r="F324" s="4" t="n">
        <v>11926</v>
      </c>
      <c r="G324" s="3">
        <f>IF(OR(E324="",F324=""),"",E324+F324)</f>
        <v/>
      </c>
      <c r="H324" s="3" t="n">
        <v>50548.82</v>
      </c>
      <c r="I324" s="3" t="n">
        <v>126372.05</v>
      </c>
      <c r="J324" s="3" t="n">
        <v>119900</v>
      </c>
      <c r="K324" s="3" t="n">
        <v>55415.96638655462</v>
      </c>
      <c r="L324" s="5" t="n">
        <v>0.2334700128895292</v>
      </c>
      <c r="M324" s="3" t="n">
        <v>70529.41176470587</v>
      </c>
      <c r="N324" s="5" t="n">
        <v>0.3977264386989157</v>
      </c>
      <c r="O324" s="3" t="n">
        <v>114034.2</v>
      </c>
      <c r="P324" s="5" t="n">
        <v>0.6274977155976014</v>
      </c>
      <c r="Q324" s="3" t="n">
        <v>79800</v>
      </c>
      <c r="R324" s="5" t="n">
        <v>0.4676942355889724</v>
      </c>
      <c r="S324" s="3" t="n">
        <v>78</v>
      </c>
      <c r="T324" s="5" t="n">
        <v>0.8566869095816464</v>
      </c>
      <c r="U324" s="6" t="n"/>
    </row>
    <row r="325">
      <c r="A325" s="2" t="inlineStr">
        <is>
          <t>SECRET GARDEN</t>
        </is>
      </c>
      <c r="B325" s="2" t="inlineStr">
        <is>
          <t>LUCKY CHARM SLEEP SLEEVELESS SHIRT</t>
        </is>
      </c>
      <c r="C325" s="2" t="inlineStr">
        <is>
          <t>254124/LUCH</t>
        </is>
      </c>
      <c r="D325" s="2" t="n">
        <v>5000</v>
      </c>
      <c r="E325" s="3" t="n">
        <v>18336.66</v>
      </c>
      <c r="F325" s="4" t="n">
        <v>11926</v>
      </c>
      <c r="G325" s="3">
        <f>IF(OR(E325="",F325=""),"",E325+F325)</f>
        <v/>
      </c>
      <c r="H325" s="3" t="n">
        <v>36012.5654</v>
      </c>
      <c r="I325" s="3" t="n">
        <v>90031.4135</v>
      </c>
      <c r="J325" s="3" t="n">
        <v>89950</v>
      </c>
      <c r="K325" s="3" t="n">
        <v>41573.52941176471</v>
      </c>
      <c r="L325" s="5" t="n">
        <v>0.2720690201627168</v>
      </c>
      <c r="M325" s="3" t="n">
        <v>52911.76470588235</v>
      </c>
      <c r="N325" s="5" t="n">
        <v>0.4280542301278488</v>
      </c>
      <c r="O325" s="3" t="n">
        <v>49414.82</v>
      </c>
      <c r="P325" s="5" t="n">
        <v>0.3875792727768714</v>
      </c>
      <c r="Q325" s="3" t="n">
        <v>34580</v>
      </c>
      <c r="R325" s="5" t="n">
        <v>0.1248507807981492</v>
      </c>
      <c r="S325" s="3" t="n">
        <v>33.8</v>
      </c>
      <c r="T325" s="5" t="n">
        <v>0.7643829025225787</v>
      </c>
      <c r="U325" s="6" t="n"/>
    </row>
    <row r="326">
      <c r="A326" s="2" t="inlineStr">
        <is>
          <t>SECRET GARDEN</t>
        </is>
      </c>
      <c r="B326" s="2" t="inlineStr">
        <is>
          <t>LUCKY CHARM SLEEP SHORT</t>
        </is>
      </c>
      <c r="C326" s="2" t="inlineStr">
        <is>
          <t>254222/LUCH</t>
        </is>
      </c>
      <c r="D326" s="2" t="n">
        <v>5000</v>
      </c>
      <c r="E326" s="3" t="n">
        <v>18737.81</v>
      </c>
      <c r="F326" s="4" t="n">
        <v>11926</v>
      </c>
      <c r="G326" s="3">
        <f>IF(OR(E326="",F326=""),"",E326+F326)</f>
        <v/>
      </c>
      <c r="H326" s="3" t="n">
        <v>36489.9339</v>
      </c>
      <c r="I326" s="3" t="n">
        <v>91224.83474999999</v>
      </c>
      <c r="J326" s="3" t="n">
        <v>89950</v>
      </c>
      <c r="K326" s="3" t="n">
        <v>41573.52941176471</v>
      </c>
      <c r="L326" s="5" t="n">
        <v>0.2624198514326142</v>
      </c>
      <c r="M326" s="3" t="n">
        <v>52911.76470588235</v>
      </c>
      <c r="N326" s="5" t="n">
        <v>0.4204727404113396</v>
      </c>
      <c r="O326" s="3" t="n">
        <v>49414.82</v>
      </c>
      <c r="P326" s="5" t="n">
        <v>0.3794612628357242</v>
      </c>
      <c r="Q326" s="3" t="n">
        <v>34580</v>
      </c>
      <c r="R326" s="5" t="n">
        <v>0.1132501445922498</v>
      </c>
      <c r="S326" s="3" t="n">
        <v>33.8</v>
      </c>
      <c r="T326" s="5" t="n">
        <v>0.7612596543132981</v>
      </c>
      <c r="U326" s="6" t="n"/>
    </row>
    <row r="327">
      <c r="A327" s="2" t="inlineStr">
        <is>
          <t>SECRET GARDEN</t>
        </is>
      </c>
      <c r="B327" s="2" t="inlineStr">
        <is>
          <t>LUCKY CHARM SLEEP LONG SHIRT</t>
        </is>
      </c>
      <c r="C327" s="2" t="inlineStr">
        <is>
          <t>254121/LUCH</t>
        </is>
      </c>
      <c r="D327" s="2" t="n">
        <v>5000</v>
      </c>
      <c r="E327" s="3" t="n">
        <v>32611.31</v>
      </c>
      <c r="F327" s="4" t="n">
        <v>11926</v>
      </c>
      <c r="G327" s="3">
        <f>IF(OR(E327="",F327=""),"",E327+F327)</f>
        <v/>
      </c>
      <c r="H327" s="3" t="n">
        <v>52999.39889999999</v>
      </c>
      <c r="I327" s="3" t="n">
        <v>132498.49725</v>
      </c>
      <c r="J327" s="3" t="n">
        <v>99950</v>
      </c>
      <c r="K327" s="3" t="n">
        <v>46195.37815126051</v>
      </c>
      <c r="L327" s="5" t="n">
        <v>0.03589251171040089</v>
      </c>
      <c r="M327" s="3" t="n">
        <v>58794.11764705882</v>
      </c>
      <c r="N327" s="5" t="n">
        <v>0.2424869734867433</v>
      </c>
      <c r="O327" s="3" t="n">
        <v>64619.37999999999</v>
      </c>
      <c r="P327" s="5" t="n">
        <v>0.310774724239075</v>
      </c>
      <c r="Q327" s="3" t="n">
        <v>45219.99999999999</v>
      </c>
      <c r="R327" s="5" t="n">
        <v>0.01509708093763811</v>
      </c>
      <c r="S327" s="3" t="n">
        <v>44.2</v>
      </c>
      <c r="T327" s="5" t="n">
        <v>0.7348338294832103</v>
      </c>
      <c r="U327" s="6" t="n"/>
    </row>
    <row r="328">
      <c r="A328" s="2" t="inlineStr">
        <is>
          <t>SECRET GARDEN</t>
        </is>
      </c>
      <c r="B328" s="2" t="inlineStr">
        <is>
          <t>LUCKY CHARM SLEEP PANTS</t>
        </is>
      </c>
      <c r="C328" s="2" t="inlineStr">
        <is>
          <t>254323/LUCH</t>
        </is>
      </c>
      <c r="D328" s="2" t="n">
        <v>5000</v>
      </c>
      <c r="E328" s="3" t="n">
        <v>28786.53</v>
      </c>
      <c r="F328" s="4" t="n">
        <v>11926</v>
      </c>
      <c r="G328" s="3">
        <f>IF(OR(E328="",F328=""),"",E328+F328)</f>
        <v/>
      </c>
      <c r="H328" s="3" t="n">
        <v>48447.91069999999</v>
      </c>
      <c r="I328" s="3" t="n">
        <v>121119.77675</v>
      </c>
      <c r="J328" s="3" t="n">
        <v>99950</v>
      </c>
      <c r="K328" s="3" t="n">
        <v>46195.37815126051</v>
      </c>
      <c r="L328" s="5" t="n">
        <v>0.1186882404838785</v>
      </c>
      <c r="M328" s="3" t="n">
        <v>58794.11764705882</v>
      </c>
      <c r="N328" s="5" t="n">
        <v>0.3075407603801901</v>
      </c>
      <c r="O328" s="3" t="n">
        <v>57017.1</v>
      </c>
      <c r="P328" s="5" t="n">
        <v>0.2859592999293195</v>
      </c>
      <c r="Q328" s="3" t="n">
        <v>39900</v>
      </c>
      <c r="R328" s="5" t="n">
        <v>-0.02036416040100248</v>
      </c>
      <c r="S328" s="3" t="n">
        <v>39</v>
      </c>
      <c r="T328" s="5" t="n">
        <v>0.7252865721997301</v>
      </c>
      <c r="U328" s="6" t="n"/>
    </row>
    <row r="329">
      <c r="A329" s="2" t="inlineStr">
        <is>
          <t>SECRET GARDEN</t>
        </is>
      </c>
      <c r="B329" s="2" t="inlineStr">
        <is>
          <t>LUCKY CHARM SLEEP SHORT SLEEVELESS SHIRT</t>
        </is>
      </c>
      <c r="C329" s="2" t="inlineStr">
        <is>
          <t>254125/LUCH</t>
        </is>
      </c>
      <c r="D329" s="2" t="n">
        <v>5000</v>
      </c>
      <c r="E329" s="3" t="n">
        <v>21807.84375</v>
      </c>
      <c r="F329" s="4" t="n">
        <v>11926</v>
      </c>
      <c r="G329" s="3">
        <f>IF(OR(E329="",F329=""),"",E329+F329)</f>
        <v/>
      </c>
      <c r="H329" s="3" t="n">
        <v>40143.2740625</v>
      </c>
      <c r="I329" s="3" t="n">
        <v>100358.18515625</v>
      </c>
      <c r="J329" s="3" t="n">
        <v>94950</v>
      </c>
      <c r="K329" s="3" t="n">
        <v>43884.45378151261</v>
      </c>
      <c r="L329" s="5" t="n">
        <v>0.2313030961271483</v>
      </c>
      <c r="M329" s="3" t="n">
        <v>55852.94117647059</v>
      </c>
      <c r="N329" s="5" t="n">
        <v>0.3960238612427593</v>
      </c>
      <c r="O329" s="3" t="n">
        <v>57017.1</v>
      </c>
      <c r="P329" s="5" t="n">
        <v>0.4083556731226246</v>
      </c>
      <c r="Q329" s="3" t="n">
        <v>39900</v>
      </c>
      <c r="R329" s="5" t="n">
        <v>0.1545402568922306</v>
      </c>
      <c r="S329" s="3" t="n">
        <v>39</v>
      </c>
      <c r="T329" s="5" t="n">
        <v>0.7723762230094466</v>
      </c>
      <c r="U329" s="6" t="n"/>
    </row>
    <row r="330">
      <c r="A330" s="2" t="inlineStr">
        <is>
          <t>SECRET GARDEN</t>
        </is>
      </c>
      <c r="B330" s="2" t="inlineStr">
        <is>
          <t>LUCKY CHARM TRIANGLE TOP</t>
        </is>
      </c>
      <c r="C330" s="2" t="inlineStr">
        <is>
          <t>263135/LUCH</t>
        </is>
      </c>
      <c r="D330" s="2" t="n">
        <v>5000</v>
      </c>
      <c r="E330" s="3" t="n">
        <v>23661.8475421436</v>
      </c>
      <c r="F330" s="4" t="n">
        <v>11926</v>
      </c>
      <c r="G330" s="3">
        <f>IF(OR(E330="",F330=""),"",E330+F330)</f>
        <v/>
      </c>
      <c r="H330" s="3" t="n">
        <v>42349.53857515088</v>
      </c>
      <c r="I330" s="3" t="n">
        <v>105873.8464378772</v>
      </c>
      <c r="J330" s="3" t="n">
        <v>109900</v>
      </c>
      <c r="K330" s="3" t="n">
        <v>50794.11764705883</v>
      </c>
      <c r="L330" s="5" t="n">
        <v>0.2993706911216663</v>
      </c>
      <c r="M330" s="3" t="n">
        <v>64647.05882352941</v>
      </c>
      <c r="N330" s="5" t="n">
        <v>0.4495055430241662</v>
      </c>
      <c r="O330" s="3" t="n">
        <v>98829.64</v>
      </c>
      <c r="P330" s="5" t="n">
        <v>0.6399071418033739</v>
      </c>
      <c r="Q330" s="3" t="n">
        <v>69160</v>
      </c>
      <c r="R330" s="5" t="n">
        <v>0.4854273056370214</v>
      </c>
      <c r="S330" s="3" t="n">
        <v>67.60000000000001</v>
      </c>
      <c r="T330" s="5" t="n">
        <v>0.8614611976715058</v>
      </c>
      <c r="U330" s="6" t="n"/>
    </row>
    <row r="331">
      <c r="A331" s="2" t="inlineStr">
        <is>
          <t>SECRET GARDEN</t>
        </is>
      </c>
      <c r="B331" s="2" t="inlineStr">
        <is>
          <t>LUCKY CHARM STRAP TIE SIDE BOTTOM</t>
        </is>
      </c>
      <c r="C331" s="2" t="inlineStr">
        <is>
          <t>263236/LUCH</t>
        </is>
      </c>
      <c r="D331" s="2" t="n">
        <v>5000</v>
      </c>
      <c r="E331" s="3" t="n">
        <v>28313.72014151925</v>
      </c>
      <c r="F331" s="4" t="n">
        <v>11926</v>
      </c>
      <c r="G331" s="3">
        <f>IF(OR(E331="",F331=""),"",E331+F331)</f>
        <v/>
      </c>
      <c r="H331" s="3" t="n">
        <v>47885.26696840791</v>
      </c>
      <c r="I331" s="3" t="n">
        <v>119713.1674210198</v>
      </c>
      <c r="J331" s="3" t="n">
        <v>119900</v>
      </c>
      <c r="K331" s="3" t="n">
        <v>55415.96638655462</v>
      </c>
      <c r="L331" s="5" t="n">
        <v>0.2738605357736309</v>
      </c>
      <c r="M331" s="3" t="n">
        <v>70529.41176470587</v>
      </c>
      <c r="N331" s="5" t="n">
        <v>0.4294618495364242</v>
      </c>
      <c r="O331" s="3" t="n">
        <v>98829.64</v>
      </c>
      <c r="P331" s="5" t="n">
        <v>0.5928375319234265</v>
      </c>
      <c r="Q331" s="3" t="n">
        <v>69160</v>
      </c>
      <c r="R331" s="5" t="n">
        <v>0.4181648331185764</v>
      </c>
      <c r="S331" s="3" t="n">
        <v>67.60000000000001</v>
      </c>
      <c r="T331" s="5" t="n">
        <v>0.8433520704550014</v>
      </c>
      <c r="U331" s="6" t="n"/>
    </row>
    <row r="332">
      <c r="A332" s="2" t="inlineStr">
        <is>
          <t>SECRET GARDEN</t>
        </is>
      </c>
      <c r="B332" s="2" t="inlineStr">
        <is>
          <t>LUCKY CHARM RUCHED STRAIGHT TOP</t>
        </is>
      </c>
      <c r="C332" s="2" t="inlineStr">
        <is>
          <t>263175/LUCH</t>
        </is>
      </c>
      <c r="D332" s="2" t="n">
        <v>5000</v>
      </c>
      <c r="E332" s="3" t="n">
        <v>32066.0254</v>
      </c>
      <c r="F332" s="4" t="n">
        <v>11926</v>
      </c>
      <c r="G332" s="3">
        <f>IF(OR(E332="",F332=""),"",E332+F332)</f>
        <v/>
      </c>
      <c r="H332" s="3" t="n">
        <v>52350.510226</v>
      </c>
      <c r="I332" s="3" t="n">
        <v>130876.275565</v>
      </c>
      <c r="J332" s="3" t="n">
        <v>129900</v>
      </c>
      <c r="K332" s="3" t="n">
        <v>60037.81512605043</v>
      </c>
      <c r="L332" s="5" t="n">
        <v>0.2672613867170552</v>
      </c>
      <c r="M332" s="3" t="n">
        <v>76411.76470588235</v>
      </c>
      <c r="N332" s="5" t="n">
        <v>0.4242768038491147</v>
      </c>
      <c r="O332" s="3" t="n">
        <v>106431.92</v>
      </c>
      <c r="P332" s="5" t="n">
        <v>0.5866651151271159</v>
      </c>
      <c r="Q332" s="3" t="n">
        <v>74479.99999999999</v>
      </c>
      <c r="R332" s="5" t="n">
        <v>0.4093444495166487</v>
      </c>
      <c r="S332" s="3" t="n">
        <v>72.8</v>
      </c>
      <c r="T332" s="5" t="n">
        <v>0.840977351792944</v>
      </c>
      <c r="U332" s="6" t="n"/>
    </row>
    <row r="333">
      <c r="A333" s="2" t="inlineStr">
        <is>
          <t>SECRET GARDEN</t>
        </is>
      </c>
      <c r="B333" s="2" t="inlineStr">
        <is>
          <t>LUCKY CHARM HIGH WAIST BOTTOM</t>
        </is>
      </c>
      <c r="C333" s="2" t="inlineStr">
        <is>
          <t>263223/LUCH</t>
        </is>
      </c>
      <c r="D333" s="2" t="n">
        <v>5000</v>
      </c>
      <c r="E333" s="3" t="n">
        <v>24481.53230769231</v>
      </c>
      <c r="F333" s="4" t="n">
        <v>11926</v>
      </c>
      <c r="G333" s="3">
        <f>IF(OR(E333="",F333=""),"",E333+F333)</f>
        <v/>
      </c>
      <c r="H333" s="3" t="n">
        <v>43324.96344615384</v>
      </c>
      <c r="I333" s="3" t="n">
        <v>108312.4086153846</v>
      </c>
      <c r="J333" s="3" t="n">
        <v>109900</v>
      </c>
      <c r="K333" s="3" t="n">
        <v>50794.11764705883</v>
      </c>
      <c r="L333" s="5" t="n">
        <v>0.2832332956215759</v>
      </c>
      <c r="M333" s="3" t="n">
        <v>64647.05882352941</v>
      </c>
      <c r="N333" s="5" t="n">
        <v>0.4368261608455238</v>
      </c>
      <c r="O333" s="3" t="n">
        <v>98829.64</v>
      </c>
      <c r="P333" s="5" t="n">
        <v>0.631613225468672</v>
      </c>
      <c r="Q333" s="3" t="n">
        <v>69160</v>
      </c>
      <c r="R333" s="5" t="n">
        <v>0.4735752991947324</v>
      </c>
      <c r="S333" s="3" t="n">
        <v>67.60000000000001</v>
      </c>
      <c r="T333" s="5" t="n">
        <v>0.8582702728601203</v>
      </c>
      <c r="U333" s="6" t="n"/>
    </row>
    <row r="334">
      <c r="A334" s="2" t="inlineStr">
        <is>
          <t>SECRET GARDEN</t>
        </is>
      </c>
      <c r="B334" s="2" t="inlineStr">
        <is>
          <t>LUCKY CHARM ONE SHOULDER ONE PIECE</t>
        </is>
      </c>
      <c r="C334" s="2" t="inlineStr">
        <is>
          <t>263326/LUCH</t>
        </is>
      </c>
      <c r="D334" s="2" t="n">
        <v>5000</v>
      </c>
      <c r="E334" s="3" t="n">
        <v>50818.26518928901</v>
      </c>
      <c r="F334" s="4" t="n">
        <v>11926</v>
      </c>
      <c r="G334" s="3">
        <f>IF(OR(E334="",F334=""),"",E334+F334)</f>
        <v/>
      </c>
      <c r="H334" s="3" t="n">
        <v>74665.67557525392</v>
      </c>
      <c r="I334" s="3" t="n">
        <v>186664.1889381348</v>
      </c>
      <c r="J334" s="3" t="n">
        <v>199900</v>
      </c>
      <c r="K334" s="3" t="n">
        <v>92390.75630252103</v>
      </c>
      <c r="L334" s="5" t="n">
        <v>0.3208815719200154</v>
      </c>
      <c r="M334" s="3" t="n">
        <v>117588.2352941176</v>
      </c>
      <c r="N334" s="5" t="n">
        <v>0.4664069493657262</v>
      </c>
      <c r="O334" s="3" t="n">
        <v>197659.28</v>
      </c>
      <c r="P334" s="5" t="n">
        <v>0.6825635245191168</v>
      </c>
      <c r="Q334" s="3" t="n">
        <v>138320</v>
      </c>
      <c r="R334" s="5" t="n">
        <v>0.546383276537818</v>
      </c>
      <c r="S334" s="3" t="n">
        <v>135.2</v>
      </c>
      <c r="T334" s="5" t="n">
        <v>0.8778724206063356</v>
      </c>
      <c r="U334" s="6" t="n"/>
    </row>
    <row r="335">
      <c r="A335" s="2" t="inlineStr">
        <is>
          <t>SECRET GARDEN</t>
        </is>
      </c>
      <c r="B335" s="2" t="inlineStr">
        <is>
          <t>LUCKY CHARM STRAIGHT ONE PIECE</t>
        </is>
      </c>
      <c r="C335" s="2" t="inlineStr">
        <is>
          <t>263370/LUCH</t>
        </is>
      </c>
      <c r="D335" s="2" t="n">
        <v>5000</v>
      </c>
      <c r="E335" s="3" t="n">
        <v>42873.6112</v>
      </c>
      <c r="F335" s="4" t="n">
        <v>11926</v>
      </c>
      <c r="G335" s="3">
        <f>IF(OR(E335="",F335=""),"",E335+F335)</f>
        <v/>
      </c>
      <c r="H335" s="3" t="n">
        <v>65211.537328</v>
      </c>
      <c r="I335" s="3" t="n">
        <v>163028.84332</v>
      </c>
      <c r="J335" s="3" t="n">
        <v>189900</v>
      </c>
      <c r="K335" s="3" t="n">
        <v>87768.90756302522</v>
      </c>
      <c r="L335" s="5" t="n">
        <v>0.3756375381492653</v>
      </c>
      <c r="M335" s="3" t="n">
        <v>111705.8823529412</v>
      </c>
      <c r="N335" s="5" t="n">
        <v>0.509429494260137</v>
      </c>
      <c r="O335" s="3" t="n">
        <v>190057</v>
      </c>
      <c r="P335" s="5" t="n">
        <v>0.7116674934361797</v>
      </c>
      <c r="Q335" s="3" t="n">
        <v>133000</v>
      </c>
      <c r="R335" s="5" t="n">
        <v>0.5879728481203007</v>
      </c>
      <c r="S335" s="3" t="n">
        <v>130</v>
      </c>
      <c r="T335" s="5" t="n">
        <v>0.8890696129554656</v>
      </c>
      <c r="U335" s="6" t="n"/>
    </row>
    <row r="336">
      <c r="A336" s="2" t="inlineStr">
        <is>
          <t>SECRET GARDEN</t>
        </is>
      </c>
      <c r="B336" s="2" t="inlineStr">
        <is>
          <t>LUCKY CHARM PAREO</t>
        </is>
      </c>
      <c r="C336" s="2" t="inlineStr">
        <is>
          <t>26RE22/LUCH</t>
        </is>
      </c>
      <c r="D336" s="2" t="n">
        <v>5000</v>
      </c>
      <c r="E336" s="3" t="n">
        <v>31861.02857142857</v>
      </c>
      <c r="F336" s="4" t="n">
        <v>11926</v>
      </c>
      <c r="G336" s="3">
        <f>IF(OR(E336="",F336=""),"",E336+F336)</f>
        <v/>
      </c>
      <c r="H336" s="3" t="n">
        <v>52106.564</v>
      </c>
      <c r="I336" s="3" t="n">
        <v>130266.41</v>
      </c>
      <c r="J336" s="3" t="n">
        <v>139900</v>
      </c>
      <c r="K336" s="3" t="n">
        <v>64659.66386554623</v>
      </c>
      <c r="L336" s="5" t="n">
        <v>0.322807667814673</v>
      </c>
      <c r="M336" s="3" t="n">
        <v>82294.11764705883</v>
      </c>
      <c r="N336" s="5" t="n">
        <v>0.4679203104258144</v>
      </c>
      <c r="O336" s="3" t="n">
        <v>136841.04</v>
      </c>
      <c r="P336" s="5" t="n">
        <v>0.6800153771746504</v>
      </c>
      <c r="Q336" s="3" t="n">
        <v>95760</v>
      </c>
      <c r="R336" s="5" t="n">
        <v>0.5427419739825755</v>
      </c>
      <c r="S336" s="3" t="n">
        <v>93.60000000000001</v>
      </c>
      <c r="T336" s="5" t="n">
        <v>0.8768920699183858</v>
      </c>
      <c r="U336" s="6" t="n"/>
    </row>
    <row r="337">
      <c r="A337" s="2" t="inlineStr">
        <is>
          <t>SECRET GARDEN</t>
        </is>
      </c>
      <c r="B337" s="2" t="inlineStr">
        <is>
          <t>TOALLA LUCKY CHARM</t>
        </is>
      </c>
      <c r="C337" s="2" t="inlineStr">
        <is>
          <t>26TO27/LUCH</t>
        </is>
      </c>
      <c r="D337" s="2" t="n">
        <v>5000</v>
      </c>
      <c r="E337" s="3" t="n">
        <v>35704.62</v>
      </c>
      <c r="F337" s="4" t="n">
        <v>11926</v>
      </c>
      <c r="G337" s="3">
        <f>IF(OR(E337="",F337=""),"",E337+F337)</f>
        <v/>
      </c>
      <c r="H337" s="3" t="n">
        <v>56680.4378</v>
      </c>
      <c r="I337" s="3" t="n">
        <v>141701.0945</v>
      </c>
      <c r="J337" s="3" t="n">
        <v>89900</v>
      </c>
      <c r="K337" s="3" t="n">
        <v>41550.42016806723</v>
      </c>
      <c r="L337" s="5" t="n">
        <v>-0.1463330528870461</v>
      </c>
      <c r="M337" s="3" t="n">
        <v>52882.35294117647</v>
      </c>
      <c r="N337" s="5" t="n">
        <v>0.09930974416017789</v>
      </c>
      <c r="O337" s="3" t="n">
        <v>144443.32</v>
      </c>
      <c r="P337" s="5" t="n">
        <v>0.6702469868457746</v>
      </c>
      <c r="Q337" s="3" t="n">
        <v>101080</v>
      </c>
      <c r="R337" s="5" t="n">
        <v>0.5287829442026117</v>
      </c>
      <c r="S337" s="3" t="n">
        <v>98.8</v>
      </c>
      <c r="T337" s="5" t="n">
        <v>0.8731338695930109</v>
      </c>
      <c r="U337" s="6" t="n"/>
    </row>
    <row r="338">
      <c r="A338" s="2" t="inlineStr">
        <is>
          <t>SECRET GARDEN</t>
        </is>
      </c>
      <c r="B338" s="2" t="inlineStr">
        <is>
          <t>GARDEN TRIANGLE TOP</t>
        </is>
      </c>
      <c r="C338" s="2" t="inlineStr">
        <is>
          <t>263135/GARD</t>
        </is>
      </c>
      <c r="D338" s="2" t="n">
        <v>5000</v>
      </c>
      <c r="E338" s="3" t="n">
        <v>23661.8475421436</v>
      </c>
      <c r="F338" s="4" t="n">
        <v>11926</v>
      </c>
      <c r="G338" s="3">
        <f>IF(OR(E338="",F338=""),"",E338+F338)</f>
        <v/>
      </c>
      <c r="H338" s="3" t="n">
        <v>42349.53857515088</v>
      </c>
      <c r="I338" s="3" t="n">
        <v>105873.8464378772</v>
      </c>
      <c r="J338" s="3" t="n">
        <v>109900</v>
      </c>
      <c r="K338" s="3" t="n">
        <v>50794.11764705883</v>
      </c>
      <c r="L338" s="5" t="n">
        <v>0.2993706911216663</v>
      </c>
      <c r="M338" s="3" t="n">
        <v>64647.05882352941</v>
      </c>
      <c r="N338" s="5" t="n">
        <v>0.4495055430241662</v>
      </c>
      <c r="O338" s="3" t="n">
        <v>98829.64</v>
      </c>
      <c r="P338" s="5" t="n">
        <v>0.6399071418033739</v>
      </c>
      <c r="Q338" s="3" t="n">
        <v>69160</v>
      </c>
      <c r="R338" s="5" t="n">
        <v>0.4854273056370214</v>
      </c>
      <c r="S338" s="3" t="n">
        <v>67.60000000000001</v>
      </c>
      <c r="T338" s="5" t="n">
        <v>0.8614611976715058</v>
      </c>
      <c r="U338" s="6" t="n"/>
    </row>
    <row r="339">
      <c r="A339" s="2" t="inlineStr">
        <is>
          <t>SECRET GARDEN</t>
        </is>
      </c>
      <c r="B339" s="2" t="inlineStr">
        <is>
          <t>GARDEN STRAP TIE SIDE BOTTOM</t>
        </is>
      </c>
      <c r="C339" s="2" t="inlineStr">
        <is>
          <t>263236/GARD</t>
        </is>
      </c>
      <c r="D339" s="2" t="n">
        <v>5000</v>
      </c>
      <c r="E339" s="3" t="n">
        <v>28313.72014151925</v>
      </c>
      <c r="F339" s="4" t="n">
        <v>11926</v>
      </c>
      <c r="G339" s="3">
        <f>IF(OR(E339="",F339=""),"",E339+F339)</f>
        <v/>
      </c>
      <c r="H339" s="3" t="n">
        <v>47885.26696840791</v>
      </c>
      <c r="I339" s="3" t="n">
        <v>119713.1674210198</v>
      </c>
      <c r="J339" s="3" t="n">
        <v>119900</v>
      </c>
      <c r="K339" s="3" t="n">
        <v>55415.96638655462</v>
      </c>
      <c r="L339" s="5" t="n">
        <v>0.2738605357736309</v>
      </c>
      <c r="M339" s="3" t="n">
        <v>70529.41176470587</v>
      </c>
      <c r="N339" s="5" t="n">
        <v>0.4294618495364242</v>
      </c>
      <c r="O339" s="3" t="n">
        <v>98829.64</v>
      </c>
      <c r="P339" s="5" t="n">
        <v>0.5928375319234265</v>
      </c>
      <c r="Q339" s="3" t="n">
        <v>69160</v>
      </c>
      <c r="R339" s="5" t="n">
        <v>0.4181648331185764</v>
      </c>
      <c r="S339" s="3" t="n">
        <v>67.60000000000001</v>
      </c>
      <c r="T339" s="5" t="n">
        <v>0.8433520704550014</v>
      </c>
      <c r="U339" s="6" t="n"/>
    </row>
    <row r="340">
      <c r="A340" s="2" t="inlineStr">
        <is>
          <t>SECRET GARDEN</t>
        </is>
      </c>
      <c r="B340" s="2" t="inlineStr">
        <is>
          <t>GARDEN UNDERWIRE BRALETTE TOP</t>
        </is>
      </c>
      <c r="C340" s="2" t="inlineStr">
        <is>
          <t>263149/GARD</t>
        </is>
      </c>
      <c r="D340" s="2" t="n">
        <v>5000</v>
      </c>
      <c r="E340" s="3" t="n">
        <v>36308.72871428572</v>
      </c>
      <c r="F340" s="4" t="n">
        <v>11926</v>
      </c>
      <c r="G340" s="3">
        <f>IF(OR(E340="",F340=""),"",E340+F340)</f>
        <v/>
      </c>
      <c r="H340" s="3" t="n">
        <v>57399.32717</v>
      </c>
      <c r="I340" s="3" t="n">
        <v>143498.317925</v>
      </c>
      <c r="J340" s="3" t="n">
        <v>139900</v>
      </c>
      <c r="K340" s="3" t="n">
        <v>64659.66386554623</v>
      </c>
      <c r="L340" s="5" t="n">
        <v>0.2540213507050492</v>
      </c>
      <c r="M340" s="3" t="n">
        <v>82294.11764705883</v>
      </c>
      <c r="N340" s="5" t="n">
        <v>0.41387391841111</v>
      </c>
      <c r="O340" s="3" t="n">
        <v>121636.48</v>
      </c>
      <c r="P340" s="5" t="n">
        <v>0.6034517875370472</v>
      </c>
      <c r="Q340" s="3" t="n">
        <v>85120</v>
      </c>
      <c r="R340" s="5" t="n">
        <v>0.4333326043904404</v>
      </c>
      <c r="S340" s="3" t="n">
        <v>83.2</v>
      </c>
      <c r="T340" s="5" t="n">
        <v>0.8474357011820417</v>
      </c>
      <c r="U340" s="6" t="n"/>
    </row>
    <row r="341">
      <c r="A341" s="2" t="inlineStr">
        <is>
          <t>SECRET GARDEN</t>
        </is>
      </c>
      <c r="B341" s="2" t="inlineStr">
        <is>
          <t>GARDEN HIGH WAIST BOTTOM</t>
        </is>
      </c>
      <c r="C341" s="2" t="inlineStr">
        <is>
          <t>263223/GARD</t>
        </is>
      </c>
      <c r="D341" s="2" t="n">
        <v>5000</v>
      </c>
      <c r="E341" s="3" t="n">
        <v>24481.53230769231</v>
      </c>
      <c r="F341" s="4" t="n">
        <v>11926</v>
      </c>
      <c r="G341" s="3">
        <f>IF(OR(E341="",F341=""),"",E341+F341)</f>
        <v/>
      </c>
      <c r="H341" s="3" t="n">
        <v>43324.96344615384</v>
      </c>
      <c r="I341" s="3" t="n">
        <v>108312.4086153846</v>
      </c>
      <c r="J341" s="3" t="n">
        <v>109900</v>
      </c>
      <c r="K341" s="3" t="n">
        <v>50794.11764705883</v>
      </c>
      <c r="L341" s="5" t="n">
        <v>0.2832332956215759</v>
      </c>
      <c r="M341" s="3" t="n">
        <v>64647.05882352941</v>
      </c>
      <c r="N341" s="5" t="n">
        <v>0.4368261608455238</v>
      </c>
      <c r="O341" s="3" t="n">
        <v>98829.64</v>
      </c>
      <c r="P341" s="5" t="n">
        <v>0.631613225468672</v>
      </c>
      <c r="Q341" s="3" t="n">
        <v>69160</v>
      </c>
      <c r="R341" s="5" t="n">
        <v>0.4735752991947324</v>
      </c>
      <c r="S341" s="3" t="n">
        <v>67.60000000000001</v>
      </c>
      <c r="T341" s="5" t="n">
        <v>0.8582702728601203</v>
      </c>
      <c r="U341" s="6" t="n"/>
    </row>
    <row r="342">
      <c r="A342" s="2" t="inlineStr">
        <is>
          <t>SECRET GARDEN</t>
        </is>
      </c>
      <c r="B342" s="2" t="inlineStr">
        <is>
          <t>GARDEN UNDERWIRE ONE PIECE</t>
        </is>
      </c>
      <c r="C342" s="2" t="inlineStr">
        <is>
          <t>263341/GARD</t>
        </is>
      </c>
      <c r="D342" s="2" t="n">
        <v>5000</v>
      </c>
      <c r="E342" s="3" t="n">
        <v>49820.17444444444</v>
      </c>
      <c r="F342" s="4" t="n">
        <v>11926</v>
      </c>
      <c r="G342" s="3">
        <f>IF(OR(E342="",F342=""),"",E342+F342)</f>
        <v/>
      </c>
      <c r="H342" s="3" t="n">
        <v>73477.94758888888</v>
      </c>
      <c r="I342" s="3" t="n">
        <v>183694.8689722222</v>
      </c>
      <c r="J342" s="3" t="n">
        <v>199900</v>
      </c>
      <c r="K342" s="3" t="n">
        <v>92390.75630252103</v>
      </c>
      <c r="L342" s="5" t="n">
        <v>0.331684500533095</v>
      </c>
      <c r="M342" s="3" t="n">
        <v>117588.2352941176</v>
      </c>
      <c r="N342" s="5" t="n">
        <v>0.4748949647045745</v>
      </c>
      <c r="O342" s="3" t="n">
        <v>190057</v>
      </c>
      <c r="P342" s="5" t="n">
        <v>0.6751175992231571</v>
      </c>
      <c r="Q342" s="3" t="n">
        <v>133000</v>
      </c>
      <c r="R342" s="5" t="n">
        <v>0.5357430492898914</v>
      </c>
      <c r="S342" s="3" t="n">
        <v>130</v>
      </c>
      <c r="T342" s="5" t="n">
        <v>0.8750077440395861</v>
      </c>
      <c r="U342" s="6" t="n"/>
    </row>
    <row r="343">
      <c r="A343" s="2" t="inlineStr">
        <is>
          <t>SECRET GARDEN</t>
        </is>
      </c>
      <c r="B343" s="2" t="inlineStr">
        <is>
          <t>GARDEN ONE SHOULDER ONE PIECE</t>
        </is>
      </c>
      <c r="C343" s="2" t="inlineStr">
        <is>
          <t>263326/GARD</t>
        </is>
      </c>
      <c r="D343" s="2" t="n">
        <v>5000</v>
      </c>
      <c r="E343" s="3" t="n">
        <v>50818.26518928901</v>
      </c>
      <c r="F343" s="4" t="n">
        <v>11926</v>
      </c>
      <c r="G343" s="3">
        <f>IF(OR(E343="",F343=""),"",E343+F343)</f>
        <v/>
      </c>
      <c r="H343" s="3" t="n">
        <v>74665.67557525392</v>
      </c>
      <c r="I343" s="3" t="n">
        <v>186664.1889381348</v>
      </c>
      <c r="J343" s="3" t="n">
        <v>199900</v>
      </c>
      <c r="K343" s="3" t="n">
        <v>92390.75630252103</v>
      </c>
      <c r="L343" s="5" t="n">
        <v>0.3208815719200154</v>
      </c>
      <c r="M343" s="3" t="n">
        <v>117588.2352941176</v>
      </c>
      <c r="N343" s="5" t="n">
        <v>0.4664069493657262</v>
      </c>
      <c r="O343" s="3" t="n">
        <v>197659.28</v>
      </c>
      <c r="P343" s="5" t="n">
        <v>0.6825635245191168</v>
      </c>
      <c r="Q343" s="3" t="n">
        <v>138320</v>
      </c>
      <c r="R343" s="5" t="n">
        <v>0.546383276537818</v>
      </c>
      <c r="S343" s="3" t="n">
        <v>135.2</v>
      </c>
      <c r="T343" s="5" t="n">
        <v>0.8778724206063356</v>
      </c>
      <c r="U343" s="6" t="n"/>
    </row>
    <row r="344">
      <c r="A344" s="2" t="inlineStr">
        <is>
          <t>SECRET GARDEN</t>
        </is>
      </c>
      <c r="B344" s="2" t="inlineStr">
        <is>
          <t>GARDEN PAREO</t>
        </is>
      </c>
      <c r="C344" s="2" t="inlineStr">
        <is>
          <t>26RE22/GARD</t>
        </is>
      </c>
      <c r="D344" s="2" t="n">
        <v>5000</v>
      </c>
      <c r="E344" s="3" t="n">
        <v>31861.02857142857</v>
      </c>
      <c r="F344" s="4" t="n">
        <v>11926</v>
      </c>
      <c r="G344" s="3">
        <f>IF(OR(E344="",F344=""),"",E344+F344)</f>
        <v/>
      </c>
      <c r="H344" s="3" t="n">
        <v>52106.564</v>
      </c>
      <c r="I344" s="3" t="n">
        <v>130266.41</v>
      </c>
      <c r="J344" s="3" t="n">
        <v>139900</v>
      </c>
      <c r="K344" s="3" t="n">
        <v>64659.66386554623</v>
      </c>
      <c r="L344" s="5" t="n">
        <v>0.322807667814673</v>
      </c>
      <c r="M344" s="3" t="n">
        <v>82294.11764705883</v>
      </c>
      <c r="N344" s="5" t="n">
        <v>0.4679203104258144</v>
      </c>
      <c r="O344" s="3" t="n">
        <v>136841.04</v>
      </c>
      <c r="P344" s="5" t="n">
        <v>0.6800153771746504</v>
      </c>
      <c r="Q344" s="3" t="n">
        <v>95760</v>
      </c>
      <c r="R344" s="5" t="n">
        <v>0.5427419739825755</v>
      </c>
      <c r="S344" s="3" t="n">
        <v>93.60000000000001</v>
      </c>
      <c r="T344" s="5" t="n">
        <v>0.8768920699183858</v>
      </c>
      <c r="U344" s="6" t="n"/>
    </row>
    <row r="345">
      <c r="A345" s="2" t="inlineStr">
        <is>
          <t>SECRET GARDEN</t>
        </is>
      </c>
      <c r="B345" s="2" t="inlineStr">
        <is>
          <t>TOALLA GARDEN</t>
        </is>
      </c>
      <c r="C345" s="2" t="inlineStr">
        <is>
          <t>26TO27/GARD</t>
        </is>
      </c>
      <c r="D345" s="2" t="n">
        <v>5000</v>
      </c>
      <c r="E345" s="3" t="n">
        <v>35704.62</v>
      </c>
      <c r="F345" s="4" t="n">
        <v>11926</v>
      </c>
      <c r="G345" s="3">
        <f>IF(OR(E345="",F345=""),"",E345+F345)</f>
        <v/>
      </c>
      <c r="H345" s="3" t="n">
        <v>56680.4378</v>
      </c>
      <c r="I345" s="3" t="n">
        <v>141701.0945</v>
      </c>
      <c r="J345" s="3" t="n">
        <v>89900</v>
      </c>
      <c r="K345" s="3" t="n">
        <v>41550.42016806723</v>
      </c>
      <c r="L345" s="5" t="n">
        <v>-0.1463330528870461</v>
      </c>
      <c r="M345" s="3" t="n">
        <v>52882.35294117647</v>
      </c>
      <c r="N345" s="5" t="n">
        <v>0.09930974416017789</v>
      </c>
      <c r="O345" s="3" t="n">
        <v>144443.32</v>
      </c>
      <c r="P345" s="5" t="n">
        <v>0.6702469868457746</v>
      </c>
      <c r="Q345" s="3" t="n">
        <v>101080</v>
      </c>
      <c r="R345" s="5" t="n">
        <v>0.5287829442026117</v>
      </c>
      <c r="S345" s="3" t="n">
        <v>98.8</v>
      </c>
      <c r="T345" s="5" t="n">
        <v>0.8731338695930109</v>
      </c>
      <c r="U345" s="6" t="n"/>
    </row>
    <row r="346">
      <c r="A346" s="2" t="inlineStr">
        <is>
          <t>SECRET GARDEN</t>
        </is>
      </c>
      <c r="B346" s="2" t="inlineStr">
        <is>
          <t>GARDEN MESH DRESS</t>
        </is>
      </c>
      <c r="C346" s="2" t="inlineStr">
        <is>
          <t>26VE32/GARD</t>
        </is>
      </c>
      <c r="D346" s="2" t="n">
        <v>5000</v>
      </c>
      <c r="E346" s="3" t="n">
        <v>47771.70114942528</v>
      </c>
      <c r="F346" s="4" t="n">
        <v>11926</v>
      </c>
      <c r="G346" s="3">
        <f>IF(OR(E346="",F346=""),"",E346+F346)</f>
        <v/>
      </c>
      <c r="H346" s="3" t="n">
        <v>71040.26436781608</v>
      </c>
      <c r="I346" s="3" t="n">
        <v>177600.6609195402</v>
      </c>
      <c r="J346" s="3" t="n">
        <v>169900</v>
      </c>
      <c r="K346" s="3" t="n">
        <v>78525.21008403362</v>
      </c>
      <c r="L346" s="5" t="n">
        <v>0.2397638785615488</v>
      </c>
      <c r="M346" s="3" t="n">
        <v>99941.17647058824</v>
      </c>
      <c r="N346" s="5" t="n">
        <v>0.4026716188697883</v>
      </c>
      <c r="O346" s="3" t="n">
        <v>182454.72</v>
      </c>
      <c r="P346" s="5" t="n">
        <v>0.6728081293297028</v>
      </c>
      <c r="Q346" s="3" t="n">
        <v>127680</v>
      </c>
      <c r="R346" s="5" t="n">
        <v>0.5324428168121453</v>
      </c>
      <c r="S346" s="3" t="n">
        <v>124.8</v>
      </c>
      <c r="T346" s="5" t="n">
        <v>0.8741192199109622</v>
      </c>
      <c r="U346" s="6" t="n"/>
    </row>
    <row r="347">
      <c r="A347" s="2" t="inlineStr">
        <is>
          <t>SECRET GARDEN</t>
        </is>
      </c>
      <c r="B347" s="2" t="inlineStr">
        <is>
          <t>GARDEN MESH SHIRT</t>
        </is>
      </c>
      <c r="C347" s="2" t="inlineStr">
        <is>
          <t>26CA36/GARD</t>
        </is>
      </c>
      <c r="D347" s="2" t="n">
        <v>5000</v>
      </c>
      <c r="E347" s="3" t="n">
        <v>29596.27</v>
      </c>
      <c r="F347" s="4" t="n">
        <v>11926</v>
      </c>
      <c r="G347" s="3">
        <f>IF(OR(E347="",F347=""),"",E347+F347)</f>
        <v/>
      </c>
      <c r="H347" s="3" t="n">
        <v>49411.5013</v>
      </c>
      <c r="I347" s="3" t="n">
        <v>123528.75325</v>
      </c>
      <c r="J347" s="3" t="n">
        <v>129900</v>
      </c>
      <c r="K347" s="3" t="n">
        <v>60037.81512605043</v>
      </c>
      <c r="L347" s="5" t="n">
        <v>0.3083980502484429</v>
      </c>
      <c r="M347" s="3" t="n">
        <v>76411.76470588235</v>
      </c>
      <c r="N347" s="5" t="n">
        <v>0.4565984680523479</v>
      </c>
      <c r="O347" s="3" t="n">
        <v>144443.32</v>
      </c>
      <c r="P347" s="5" t="n">
        <v>0.7125358929717206</v>
      </c>
      <c r="Q347" s="3" t="n">
        <v>101080</v>
      </c>
      <c r="R347" s="5" t="n">
        <v>0.5892137910565888</v>
      </c>
      <c r="S347" s="3" t="n">
        <v>98.8</v>
      </c>
      <c r="T347" s="5" t="n">
        <v>0.8894037129767739</v>
      </c>
      <c r="U347" s="6" t="n"/>
    </row>
    <row r="348">
      <c r="A348" s="2" t="inlineStr">
        <is>
          <t>SECRET GARDEN</t>
        </is>
      </c>
      <c r="B348" s="2" t="inlineStr">
        <is>
          <t>GARDEN SLEEP SLEEVELESS SHIRT</t>
        </is>
      </c>
      <c r="C348" s="2" t="inlineStr">
        <is>
          <t>264124/GARD</t>
        </is>
      </c>
      <c r="D348" s="2" t="n">
        <v>5000</v>
      </c>
      <c r="E348" s="3" t="n">
        <v>18336.66</v>
      </c>
      <c r="F348" s="4" t="n">
        <v>11926</v>
      </c>
      <c r="G348" s="3">
        <f>IF(OR(E348="",F348=""),"",E348+F348)</f>
        <v/>
      </c>
      <c r="H348" s="3" t="n">
        <v>36012.5654</v>
      </c>
      <c r="I348" s="3" t="n">
        <v>90031.4135</v>
      </c>
      <c r="J348" s="3" t="n">
        <v>89950</v>
      </c>
      <c r="K348" s="3" t="n">
        <v>41573.52941176471</v>
      </c>
      <c r="L348" s="5" t="n">
        <v>0.2720690201627168</v>
      </c>
      <c r="M348" s="3" t="n">
        <v>52911.76470588235</v>
      </c>
      <c r="N348" s="5" t="n">
        <v>0.4280542301278488</v>
      </c>
      <c r="O348" s="3" t="n">
        <v>49414.82</v>
      </c>
      <c r="P348" s="5" t="n">
        <v>0.3875792727768714</v>
      </c>
      <c r="Q348" s="3" t="n">
        <v>34580</v>
      </c>
      <c r="R348" s="5" t="n">
        <v>0.1248507807981492</v>
      </c>
      <c r="S348" s="3" t="n">
        <v>33.8</v>
      </c>
      <c r="T348" s="5" t="n">
        <v>0.7643829025225787</v>
      </c>
      <c r="U348" s="6" t="n"/>
    </row>
    <row r="349">
      <c r="A349" s="2" t="inlineStr">
        <is>
          <t>SECRET GARDEN</t>
        </is>
      </c>
      <c r="B349" s="2" t="inlineStr">
        <is>
          <t>GARDEN SLEEP SHORT</t>
        </is>
      </c>
      <c r="C349" s="2" t="inlineStr">
        <is>
          <t>264222/GARD</t>
        </is>
      </c>
      <c r="D349" s="2" t="n">
        <v>5000</v>
      </c>
      <c r="E349" s="3" t="n">
        <v>18737.81</v>
      </c>
      <c r="F349" s="4" t="n">
        <v>11926</v>
      </c>
      <c r="G349" s="3">
        <f>IF(OR(E349="",F349=""),"",E349+F349)</f>
        <v/>
      </c>
      <c r="H349" s="3" t="n">
        <v>36489.9339</v>
      </c>
      <c r="I349" s="3" t="n">
        <v>91224.83474999999</v>
      </c>
      <c r="J349" s="3" t="n">
        <v>89950</v>
      </c>
      <c r="K349" s="3" t="n">
        <v>41573.52941176471</v>
      </c>
      <c r="L349" s="5" t="n">
        <v>0.2624198514326142</v>
      </c>
      <c r="M349" s="3" t="n">
        <v>52911.76470588235</v>
      </c>
      <c r="N349" s="5" t="n">
        <v>0.4204727404113396</v>
      </c>
      <c r="O349" s="3" t="n">
        <v>49414.82</v>
      </c>
      <c r="P349" s="5" t="n">
        <v>0.3794612628357242</v>
      </c>
      <c r="Q349" s="3" t="n">
        <v>34580</v>
      </c>
      <c r="R349" s="5" t="n">
        <v>0.1132501445922498</v>
      </c>
      <c r="S349" s="3" t="n">
        <v>33.8</v>
      </c>
      <c r="T349" s="5" t="n">
        <v>0.7612596543132981</v>
      </c>
      <c r="U349" s="6" t="n"/>
    </row>
    <row r="350">
      <c r="A350" s="2" t="inlineStr">
        <is>
          <t>SECRET GARDEN</t>
        </is>
      </c>
      <c r="B350" s="2" t="inlineStr">
        <is>
          <t>GARDEN SLEEP LONG SHIRT</t>
        </is>
      </c>
      <c r="C350" s="2" t="inlineStr">
        <is>
          <t>264121/GARD</t>
        </is>
      </c>
      <c r="D350" s="2" t="n">
        <v>5000</v>
      </c>
      <c r="E350" s="3" t="n">
        <v>32611.31</v>
      </c>
      <c r="F350" s="4" t="n">
        <v>11926</v>
      </c>
      <c r="G350" s="3">
        <f>IF(OR(E350="",F350=""),"",E350+F350)</f>
        <v/>
      </c>
      <c r="H350" s="3" t="n">
        <v>52999.39889999999</v>
      </c>
      <c r="I350" s="3" t="n">
        <v>132498.49725</v>
      </c>
      <c r="J350" s="3" t="n">
        <v>99950</v>
      </c>
      <c r="K350" s="3" t="n">
        <v>46195.37815126051</v>
      </c>
      <c r="L350" s="5" t="n">
        <v>0.03589251171040089</v>
      </c>
      <c r="M350" s="3" t="n">
        <v>58794.11764705882</v>
      </c>
      <c r="N350" s="5" t="n">
        <v>0.2424869734867433</v>
      </c>
      <c r="O350" s="3" t="n">
        <v>64619.37999999999</v>
      </c>
      <c r="P350" s="5" t="n">
        <v>0.310774724239075</v>
      </c>
      <c r="Q350" s="3" t="n">
        <v>45219.99999999999</v>
      </c>
      <c r="R350" s="5" t="n">
        <v>0.01509708093763811</v>
      </c>
      <c r="S350" s="3" t="n">
        <v>44.2</v>
      </c>
      <c r="T350" s="5" t="n">
        <v>0.7348338294832103</v>
      </c>
      <c r="U350" s="6" t="n"/>
    </row>
    <row r="351">
      <c r="A351" s="2" t="inlineStr">
        <is>
          <t>SECRET GARDEN</t>
        </is>
      </c>
      <c r="B351" s="2" t="inlineStr">
        <is>
          <t>GARDEN SLEEP PANTS</t>
        </is>
      </c>
      <c r="C351" s="2" t="inlineStr">
        <is>
          <t>264323/GARD</t>
        </is>
      </c>
      <c r="D351" s="2" t="n">
        <v>5000</v>
      </c>
      <c r="E351" s="3" t="n">
        <v>28786.53</v>
      </c>
      <c r="F351" s="4" t="n">
        <v>11926</v>
      </c>
      <c r="G351" s="3">
        <f>IF(OR(E351="",F351=""),"",E351+F351)</f>
        <v/>
      </c>
      <c r="H351" s="3" t="n">
        <v>48447.91069999999</v>
      </c>
      <c r="I351" s="3" t="n">
        <v>121119.77675</v>
      </c>
      <c r="J351" s="3" t="n">
        <v>99950</v>
      </c>
      <c r="K351" s="3" t="n">
        <v>46195.37815126051</v>
      </c>
      <c r="L351" s="5" t="n">
        <v>0.1186882404838785</v>
      </c>
      <c r="M351" s="3" t="n">
        <v>58794.11764705882</v>
      </c>
      <c r="N351" s="5" t="n">
        <v>0.3075407603801901</v>
      </c>
      <c r="O351" s="3" t="n">
        <v>57017.1</v>
      </c>
      <c r="P351" s="5" t="n">
        <v>0.2859592999293195</v>
      </c>
      <c r="Q351" s="3" t="n">
        <v>39900</v>
      </c>
      <c r="R351" s="5" t="n">
        <v>-0.02036416040100248</v>
      </c>
      <c r="S351" s="3" t="n">
        <v>39</v>
      </c>
      <c r="T351" s="5" t="n">
        <v>0.7252865721997301</v>
      </c>
      <c r="U351" s="6" t="n"/>
    </row>
    <row r="352">
      <c r="A352" s="2" t="inlineStr">
        <is>
          <t>SECRET GARDEN</t>
        </is>
      </c>
      <c r="B352" s="2" t="inlineStr">
        <is>
          <t>GARDEN SLEEP SHORT SLEEVELESS SHIRT</t>
        </is>
      </c>
      <c r="C352" s="2" t="inlineStr">
        <is>
          <t>264125/GARD</t>
        </is>
      </c>
      <c r="D352" s="2" t="n">
        <v>5000</v>
      </c>
      <c r="E352" s="3" t="n">
        <v>21807.84375</v>
      </c>
      <c r="F352" s="4" t="n">
        <v>11926</v>
      </c>
      <c r="G352" s="3">
        <f>IF(OR(E352="",F352=""),"",E352+F352)</f>
        <v/>
      </c>
      <c r="H352" s="3" t="n">
        <v>40143.2740625</v>
      </c>
      <c r="I352" s="3" t="n">
        <v>100358.18515625</v>
      </c>
      <c r="J352" s="3" t="n">
        <v>94950</v>
      </c>
      <c r="K352" s="3" t="n">
        <v>43884.45378151261</v>
      </c>
      <c r="L352" s="5" t="n">
        <v>0.2313030961271483</v>
      </c>
      <c r="M352" s="3" t="n">
        <v>55852.94117647059</v>
      </c>
      <c r="N352" s="5" t="n">
        <v>0.3960238612427593</v>
      </c>
      <c r="O352" s="3" t="n">
        <v>57017.1</v>
      </c>
      <c r="P352" s="5" t="n">
        <v>0.4083556731226246</v>
      </c>
      <c r="Q352" s="3" t="n">
        <v>39900</v>
      </c>
      <c r="R352" s="5" t="n">
        <v>0.1545402568922306</v>
      </c>
      <c r="S352" s="3" t="n">
        <v>39</v>
      </c>
      <c r="T352" s="5" t="n">
        <v>0.7723762230094466</v>
      </c>
      <c r="U352" s="6" t="n"/>
    </row>
    <row r="353">
      <c r="A353" s="2" t="inlineStr">
        <is>
          <t>SECRET GARDEN</t>
        </is>
      </c>
      <c r="B353" s="2" t="inlineStr">
        <is>
          <t>SOUL TRIANGLE TOP</t>
        </is>
      </c>
      <c r="C353" s="2" t="inlineStr">
        <is>
          <t>263135/SUL</t>
        </is>
      </c>
      <c r="D353" s="2" t="n">
        <v>5000</v>
      </c>
      <c r="E353" s="3" t="n">
        <v>23661.8475421436</v>
      </c>
      <c r="F353" s="4" t="n">
        <v>11926</v>
      </c>
      <c r="G353" s="3">
        <f>IF(OR(E353="",F353=""),"",E353+F353)</f>
        <v/>
      </c>
      <c r="H353" s="3" t="n">
        <v>42349.53857515088</v>
      </c>
      <c r="I353" s="3" t="n">
        <v>105873.8464378772</v>
      </c>
      <c r="J353" s="3" t="n">
        <v>109900</v>
      </c>
      <c r="K353" s="3" t="n">
        <v>50794.11764705883</v>
      </c>
      <c r="L353" s="5" t="n">
        <v>0.2993706911216663</v>
      </c>
      <c r="M353" s="3" t="n">
        <v>64647.05882352941</v>
      </c>
      <c r="N353" s="5" t="n">
        <v>0.4495055430241662</v>
      </c>
      <c r="O353" s="3" t="n">
        <v>98829.64</v>
      </c>
      <c r="P353" s="5" t="n">
        <v>0.6399071418033739</v>
      </c>
      <c r="Q353" s="3" t="n">
        <v>69160</v>
      </c>
      <c r="R353" s="5" t="n">
        <v>0.4854273056370214</v>
      </c>
      <c r="S353" s="3" t="n">
        <v>67.60000000000001</v>
      </c>
      <c r="T353" s="5" t="n">
        <v>0.8614611976715058</v>
      </c>
      <c r="U353" s="6" t="n"/>
    </row>
    <row r="354">
      <c r="A354" s="2" t="inlineStr">
        <is>
          <t>SECRET GARDEN</t>
        </is>
      </c>
      <c r="B354" s="2" t="inlineStr">
        <is>
          <t>SOUL STRAP TIE SIDE BOTTOM</t>
        </is>
      </c>
      <c r="C354" s="2" t="inlineStr">
        <is>
          <t>263236/SUL</t>
        </is>
      </c>
      <c r="D354" s="2" t="n">
        <v>5000</v>
      </c>
      <c r="E354" s="3" t="n">
        <v>28313.72014151925</v>
      </c>
      <c r="F354" s="4" t="n">
        <v>11926</v>
      </c>
      <c r="G354" s="3">
        <f>IF(OR(E354="",F354=""),"",E354+F354)</f>
        <v/>
      </c>
      <c r="H354" s="3" t="n">
        <v>47885.26696840791</v>
      </c>
      <c r="I354" s="3" t="n">
        <v>119713.1674210198</v>
      </c>
      <c r="J354" s="3" t="n">
        <v>119900</v>
      </c>
      <c r="K354" s="3" t="n">
        <v>55415.96638655462</v>
      </c>
      <c r="L354" s="5" t="n">
        <v>0.2738605357736309</v>
      </c>
      <c r="M354" s="3" t="n">
        <v>70529.41176470587</v>
      </c>
      <c r="N354" s="5" t="n">
        <v>0.4294618495364242</v>
      </c>
      <c r="O354" s="3" t="n">
        <v>98829.64</v>
      </c>
      <c r="P354" s="5" t="n">
        <v>0.5928375319234265</v>
      </c>
      <c r="Q354" s="3" t="n">
        <v>69160</v>
      </c>
      <c r="R354" s="5" t="n">
        <v>0.4181648331185764</v>
      </c>
      <c r="S354" s="3" t="n">
        <v>67.60000000000001</v>
      </c>
      <c r="T354" s="5" t="n">
        <v>0.8433520704550014</v>
      </c>
      <c r="U354" s="6" t="n"/>
    </row>
    <row r="355">
      <c r="A355" s="2" t="inlineStr">
        <is>
          <t>SECRET GARDEN</t>
        </is>
      </c>
      <c r="B355" s="2" t="inlineStr">
        <is>
          <t>SOUL UNDERWIRE BRALETTE TOP</t>
        </is>
      </c>
      <c r="C355" s="2" t="inlineStr">
        <is>
          <t>263149/SUL</t>
        </is>
      </c>
      <c r="D355" s="2" t="n">
        <v>5000</v>
      </c>
      <c r="E355" s="3" t="n">
        <v>36308.72871428572</v>
      </c>
      <c r="F355" s="4" t="n">
        <v>11926</v>
      </c>
      <c r="G355" s="3">
        <f>IF(OR(E355="",F355=""),"",E355+F355)</f>
        <v/>
      </c>
      <c r="H355" s="3" t="n">
        <v>57399.32717</v>
      </c>
      <c r="I355" s="3" t="n">
        <v>143498.317925</v>
      </c>
      <c r="J355" s="3" t="n">
        <v>139900</v>
      </c>
      <c r="K355" s="3" t="n">
        <v>64659.66386554623</v>
      </c>
      <c r="L355" s="5" t="n">
        <v>0.2540213507050492</v>
      </c>
      <c r="M355" s="3" t="n">
        <v>82294.11764705883</v>
      </c>
      <c r="N355" s="5" t="n">
        <v>0.41387391841111</v>
      </c>
      <c r="O355" s="3" t="n">
        <v>121636.48</v>
      </c>
      <c r="P355" s="5" t="n">
        <v>0.6034517875370472</v>
      </c>
      <c r="Q355" s="3" t="n">
        <v>85120</v>
      </c>
      <c r="R355" s="5" t="n">
        <v>0.4333326043904404</v>
      </c>
      <c r="S355" s="3" t="n">
        <v>83.2</v>
      </c>
      <c r="T355" s="5" t="n">
        <v>0.8474357011820417</v>
      </c>
      <c r="U355" s="6" t="n"/>
    </row>
    <row r="356">
      <c r="A356" s="2" t="inlineStr">
        <is>
          <t>SECRET GARDEN</t>
        </is>
      </c>
      <c r="B356" s="2" t="inlineStr">
        <is>
          <t>SOUL HIGH WAIST BOTTOM</t>
        </is>
      </c>
      <c r="C356" s="2" t="inlineStr">
        <is>
          <t>263223/SUL</t>
        </is>
      </c>
      <c r="D356" s="2" t="n">
        <v>5000</v>
      </c>
      <c r="E356" s="3" t="n">
        <v>24481.53230769231</v>
      </c>
      <c r="F356" s="4" t="n">
        <v>11926</v>
      </c>
      <c r="G356" s="3">
        <f>IF(OR(E356="",F356=""),"",E356+F356)</f>
        <v/>
      </c>
      <c r="H356" s="3" t="n">
        <v>43324.96344615384</v>
      </c>
      <c r="I356" s="3" t="n">
        <v>108312.4086153846</v>
      </c>
      <c r="J356" s="3" t="n">
        <v>109900</v>
      </c>
      <c r="K356" s="3" t="n">
        <v>50794.11764705883</v>
      </c>
      <c r="L356" s="5" t="n">
        <v>0.2832332956215759</v>
      </c>
      <c r="M356" s="3" t="n">
        <v>64647.05882352941</v>
      </c>
      <c r="N356" s="5" t="n">
        <v>0.4368261608455238</v>
      </c>
      <c r="O356" s="3" t="n">
        <v>98829.64</v>
      </c>
      <c r="P356" s="5" t="n">
        <v>0.631613225468672</v>
      </c>
      <c r="Q356" s="3" t="n">
        <v>69160</v>
      </c>
      <c r="R356" s="5" t="n">
        <v>0.4735752991947324</v>
      </c>
      <c r="S356" s="3" t="n">
        <v>67.60000000000001</v>
      </c>
      <c r="T356" s="5" t="n">
        <v>0.8582702728601203</v>
      </c>
      <c r="U356" s="6" t="n"/>
    </row>
    <row r="357">
      <c r="A357" s="2" t="inlineStr">
        <is>
          <t>SECRET GARDEN</t>
        </is>
      </c>
      <c r="B357" s="2" t="inlineStr">
        <is>
          <t>SOUL STRAIGHT ONE PIECE</t>
        </is>
      </c>
      <c r="C357" s="2" t="inlineStr">
        <is>
          <t>263370/SUL</t>
        </is>
      </c>
      <c r="D357" s="2" t="n">
        <v>5000</v>
      </c>
      <c r="E357" s="3" t="n">
        <v>42873.6112</v>
      </c>
      <c r="F357" s="4" t="n">
        <v>11926</v>
      </c>
      <c r="G357" s="3">
        <f>IF(OR(E357="",F357=""),"",E357+F357)</f>
        <v/>
      </c>
      <c r="H357" s="3" t="n">
        <v>65211.537328</v>
      </c>
      <c r="I357" s="3" t="n">
        <v>163028.84332</v>
      </c>
      <c r="J357" s="3" t="n">
        <v>189900</v>
      </c>
      <c r="K357" s="3" t="n">
        <v>87768.90756302522</v>
      </c>
      <c r="L357" s="5" t="n">
        <v>0.3756375381492653</v>
      </c>
      <c r="M357" s="3" t="n">
        <v>111705.8823529412</v>
      </c>
      <c r="N357" s="5" t="n">
        <v>0.509429494260137</v>
      </c>
      <c r="O357" s="3" t="n">
        <v>190057</v>
      </c>
      <c r="P357" s="5" t="n">
        <v>0.7116674934361797</v>
      </c>
      <c r="Q357" s="3" t="n">
        <v>133000</v>
      </c>
      <c r="R357" s="5" t="n">
        <v>0.5879728481203007</v>
      </c>
      <c r="S357" s="3" t="n">
        <v>130</v>
      </c>
      <c r="T357" s="5" t="n">
        <v>0.8890696129554656</v>
      </c>
      <c r="U357" s="6" t="n"/>
    </row>
    <row r="358">
      <c r="A358" s="2" t="inlineStr">
        <is>
          <t>SECRET GARDEN</t>
        </is>
      </c>
      <c r="B358" s="2" t="inlineStr">
        <is>
          <t>SOUL ONE SHOULDER ONE PIECE</t>
        </is>
      </c>
      <c r="C358" s="2" t="inlineStr">
        <is>
          <t>263326/SUL</t>
        </is>
      </c>
      <c r="D358" s="2" t="n">
        <v>5000</v>
      </c>
      <c r="E358" s="3" t="n">
        <v>50818.26518928901</v>
      </c>
      <c r="F358" s="4" t="n">
        <v>11926</v>
      </c>
      <c r="G358" s="3">
        <f>IF(OR(E358="",F358=""),"",E358+F358)</f>
        <v/>
      </c>
      <c r="H358" s="3" t="n">
        <v>74665.67557525392</v>
      </c>
      <c r="I358" s="3" t="n">
        <v>186664.1889381348</v>
      </c>
      <c r="J358" s="3" t="n">
        <v>199900</v>
      </c>
      <c r="K358" s="3" t="n">
        <v>92390.75630252103</v>
      </c>
      <c r="L358" s="5" t="n">
        <v>0.3208815719200154</v>
      </c>
      <c r="M358" s="3" t="n">
        <v>117588.2352941176</v>
      </c>
      <c r="N358" s="5" t="n">
        <v>0.4664069493657262</v>
      </c>
      <c r="O358" s="3" t="n">
        <v>197659.28</v>
      </c>
      <c r="P358" s="5" t="n">
        <v>0.6825635245191168</v>
      </c>
      <c r="Q358" s="3" t="n">
        <v>138320</v>
      </c>
      <c r="R358" s="5" t="n">
        <v>0.546383276537818</v>
      </c>
      <c r="S358" s="3" t="n">
        <v>135.2</v>
      </c>
      <c r="T358" s="5" t="n">
        <v>0.8778724206063356</v>
      </c>
      <c r="U358" s="6" t="n"/>
    </row>
    <row r="359">
      <c r="A359" s="2" t="inlineStr">
        <is>
          <t>SECRET GARDEN</t>
        </is>
      </c>
      <c r="B359" s="2" t="inlineStr">
        <is>
          <t>SOUL PAREO</t>
        </is>
      </c>
      <c r="C359" s="2" t="inlineStr">
        <is>
          <t>26RE22/SUL</t>
        </is>
      </c>
      <c r="D359" s="2" t="n">
        <v>5000</v>
      </c>
      <c r="E359" s="3" t="n">
        <v>31861.02857142857</v>
      </c>
      <c r="F359" s="4" t="n">
        <v>11926</v>
      </c>
      <c r="G359" s="3">
        <f>IF(OR(E359="",F359=""),"",E359+F359)</f>
        <v/>
      </c>
      <c r="H359" s="3" t="n">
        <v>52106.564</v>
      </c>
      <c r="I359" s="3" t="n">
        <v>130266.41</v>
      </c>
      <c r="J359" s="3" t="n">
        <v>139900</v>
      </c>
      <c r="K359" s="3" t="n">
        <v>64659.66386554623</v>
      </c>
      <c r="L359" s="5" t="n">
        <v>0.322807667814673</v>
      </c>
      <c r="M359" s="3" t="n">
        <v>82294.11764705883</v>
      </c>
      <c r="N359" s="5" t="n">
        <v>0.4679203104258144</v>
      </c>
      <c r="O359" s="3" t="n">
        <v>136841.04</v>
      </c>
      <c r="P359" s="5" t="n">
        <v>0.6800153771746504</v>
      </c>
      <c r="Q359" s="3" t="n">
        <v>95760</v>
      </c>
      <c r="R359" s="5" t="n">
        <v>0.5427419739825755</v>
      </c>
      <c r="S359" s="3" t="n">
        <v>93.60000000000001</v>
      </c>
      <c r="T359" s="5" t="n">
        <v>0.8768920699183858</v>
      </c>
      <c r="U359" s="6" t="n"/>
    </row>
    <row r="360">
      <c r="A360" s="2" t="inlineStr">
        <is>
          <t>SECRET GARDEN</t>
        </is>
      </c>
      <c r="B360" s="2" t="inlineStr">
        <is>
          <t>TOALLA SOUL</t>
        </is>
      </c>
      <c r="C360" s="2" t="inlineStr">
        <is>
          <t>26TO27/SUL</t>
        </is>
      </c>
      <c r="D360" s="2" t="n">
        <v>5000</v>
      </c>
      <c r="E360" s="3" t="n">
        <v>35704.62</v>
      </c>
      <c r="F360" s="4" t="n">
        <v>11926</v>
      </c>
      <c r="G360" s="3">
        <f>IF(OR(E360="",F360=""),"",E360+F360)</f>
        <v/>
      </c>
      <c r="H360" s="3" t="n">
        <v>56680.4378</v>
      </c>
      <c r="I360" s="3" t="n">
        <v>141701.0945</v>
      </c>
      <c r="J360" s="3" t="n">
        <v>89900</v>
      </c>
      <c r="K360" s="3" t="n">
        <v>41550.42016806723</v>
      </c>
      <c r="L360" s="5" t="n">
        <v>-0.1463330528870461</v>
      </c>
      <c r="M360" s="3" t="n">
        <v>52882.35294117647</v>
      </c>
      <c r="N360" s="5" t="n">
        <v>0.09930974416017789</v>
      </c>
      <c r="O360" s="3" t="n">
        <v>144443.32</v>
      </c>
      <c r="P360" s="5" t="n">
        <v>0.6702469868457746</v>
      </c>
      <c r="Q360" s="3" t="n">
        <v>101080</v>
      </c>
      <c r="R360" s="5" t="n">
        <v>0.5287829442026117</v>
      </c>
      <c r="S360" s="3" t="n">
        <v>98.8</v>
      </c>
      <c r="T360" s="5" t="n">
        <v>0.8731338695930109</v>
      </c>
      <c r="U360" s="6" t="n"/>
    </row>
    <row r="361">
      <c r="A361" s="2" t="inlineStr">
        <is>
          <t>SECRET GARDEN</t>
        </is>
      </c>
      <c r="B361" s="2" t="inlineStr">
        <is>
          <t>SOUL MESH LONG DRESS</t>
        </is>
      </c>
      <c r="C361" s="2" t="inlineStr">
        <is>
          <t>26VE36/SUL</t>
        </is>
      </c>
      <c r="D361" s="2" t="n">
        <v>5000</v>
      </c>
      <c r="E361" s="3" t="n">
        <v>48425</v>
      </c>
      <c r="F361" s="4" t="n">
        <v>11926</v>
      </c>
      <c r="G361" s="3">
        <f>IF(OR(E361="",F361=""),"",E361+F361)</f>
        <v/>
      </c>
      <c r="H361" s="3" t="n">
        <v>71817.69</v>
      </c>
      <c r="I361" s="3" t="n">
        <v>179544.225</v>
      </c>
      <c r="J361" s="3" t="n">
        <v>169900</v>
      </c>
      <c r="K361" s="3" t="n">
        <v>78525.21008403362</v>
      </c>
      <c r="L361" s="5" t="n">
        <v>0.2314442720316764</v>
      </c>
      <c r="M361" s="3" t="n">
        <v>99941.17647058824</v>
      </c>
      <c r="N361" s="5" t="n">
        <v>0.3961347851677458</v>
      </c>
      <c r="O361" s="3" t="n">
        <v>182454.72</v>
      </c>
      <c r="P361" s="5" t="n">
        <v>0.669227521217319</v>
      </c>
      <c r="Q361" s="3" t="n">
        <v>127680</v>
      </c>
      <c r="R361" s="5" t="n">
        <v>0.5273261278195488</v>
      </c>
      <c r="S361" s="3" t="n">
        <v>124.8</v>
      </c>
      <c r="T361" s="5" t="n">
        <v>0.8727416497975709</v>
      </c>
      <c r="U361" s="6" t="n"/>
    </row>
    <row r="362">
      <c r="A362" s="2" t="inlineStr">
        <is>
          <t>SECRET GARDEN</t>
        </is>
      </c>
      <c r="B362" s="2" t="inlineStr">
        <is>
          <t>SOUL MESH SHIRT</t>
        </is>
      </c>
      <c r="C362" s="2" t="inlineStr">
        <is>
          <t>26CA36/SUL</t>
        </is>
      </c>
      <c r="D362" s="2" t="n">
        <v>5000</v>
      </c>
      <c r="E362" s="3" t="n">
        <v>29596.27</v>
      </c>
      <c r="F362" s="4" t="n">
        <v>11926</v>
      </c>
      <c r="G362" s="3">
        <f>IF(OR(E362="",F362=""),"",E362+F362)</f>
        <v/>
      </c>
      <c r="H362" s="3" t="n">
        <v>49411.5013</v>
      </c>
      <c r="I362" s="3" t="n">
        <v>123528.75325</v>
      </c>
      <c r="J362" s="3" t="n">
        <v>129900</v>
      </c>
      <c r="K362" s="3" t="n">
        <v>60037.81512605043</v>
      </c>
      <c r="L362" s="5" t="n">
        <v>0.3083980502484429</v>
      </c>
      <c r="M362" s="3" t="n">
        <v>76411.76470588235</v>
      </c>
      <c r="N362" s="5" t="n">
        <v>0.4565984680523479</v>
      </c>
      <c r="O362" s="3" t="n">
        <v>144443.32</v>
      </c>
      <c r="P362" s="5" t="n">
        <v>0.7125358929717206</v>
      </c>
      <c r="Q362" s="3" t="n">
        <v>101080</v>
      </c>
      <c r="R362" s="5" t="n">
        <v>0.5892137910565888</v>
      </c>
      <c r="S362" s="3" t="n">
        <v>98.8</v>
      </c>
      <c r="T362" s="5" t="n">
        <v>0.8894037129767739</v>
      </c>
      <c r="U362" s="6" t="n"/>
    </row>
    <row r="363">
      <c r="A363" s="2" t="inlineStr">
        <is>
          <t>SECRET GARDEN</t>
        </is>
      </c>
      <c r="B363" s="2" t="inlineStr">
        <is>
          <t>SOUL MESH LONG SHIRT</t>
        </is>
      </c>
      <c r="C363" s="2" t="inlineStr">
        <is>
          <t>26CA32/SUL</t>
        </is>
      </c>
      <c r="D363" s="2" t="n">
        <v>5000</v>
      </c>
      <c r="E363" s="3" t="n">
        <v>30552</v>
      </c>
      <c r="F363" s="4" t="n">
        <v>11926</v>
      </c>
      <c r="G363" s="3">
        <f>IF(OR(E363="",F363=""),"",E363+F363)</f>
        <v/>
      </c>
      <c r="H363" s="3" t="n">
        <v>50548.82</v>
      </c>
      <c r="I363" s="3" t="n">
        <v>126372.05</v>
      </c>
      <c r="J363" s="3" t="n">
        <v>119900</v>
      </c>
      <c r="K363" s="3" t="n">
        <v>55415.96638655462</v>
      </c>
      <c r="L363" s="5" t="n">
        <v>0.2334700128895292</v>
      </c>
      <c r="M363" s="3" t="n">
        <v>70529.41176470587</v>
      </c>
      <c r="N363" s="5" t="n">
        <v>0.3977264386989157</v>
      </c>
      <c r="O363" s="3" t="n">
        <v>136841.04</v>
      </c>
      <c r="P363" s="5" t="n">
        <v>0.6895814296646678</v>
      </c>
      <c r="Q363" s="3" t="n">
        <v>95760</v>
      </c>
      <c r="R363" s="5" t="n">
        <v>0.5564118629908104</v>
      </c>
      <c r="S363" s="3" t="n">
        <v>93.60000000000001</v>
      </c>
      <c r="T363" s="5" t="n">
        <v>0.8805724246513721</v>
      </c>
      <c r="U363" s="6" t="n"/>
    </row>
    <row r="364">
      <c r="A364" s="2" t="inlineStr">
        <is>
          <t>SECRET GARDEN</t>
        </is>
      </c>
      <c r="B364" s="2" t="inlineStr">
        <is>
          <t>SOUL SHIRT</t>
        </is>
      </c>
      <c r="C364" s="2" t="inlineStr">
        <is>
          <t>26CA21/SUL</t>
        </is>
      </c>
      <c r="D364" s="2" t="n">
        <v>5000</v>
      </c>
      <c r="E364" s="3" t="n">
        <v>47099.20661111111</v>
      </c>
      <c r="F364" s="4" t="n">
        <v>11926</v>
      </c>
      <c r="G364" s="3">
        <f>IF(OR(E364="",F364=""),"",E364+F364)</f>
        <v/>
      </c>
      <c r="H364" s="3" t="n">
        <v>70239.99586722223</v>
      </c>
      <c r="I364" s="3" t="n">
        <v>175599.9896680555</v>
      </c>
      <c r="J364" s="3" t="n">
        <v>169900</v>
      </c>
      <c r="K364" s="3" t="n">
        <v>78525.21008403362</v>
      </c>
      <c r="L364" s="5" t="n">
        <v>0.2483279376400854</v>
      </c>
      <c r="M364" s="3" t="n">
        <v>99941.17647058824</v>
      </c>
      <c r="N364" s="5" t="n">
        <v>0.4094005224314957</v>
      </c>
      <c r="O364" s="3" t="n">
        <v>174852.44</v>
      </c>
      <c r="P364" s="5" t="n">
        <v>0.6624284647608514</v>
      </c>
      <c r="Q364" s="3" t="n">
        <v>122360</v>
      </c>
      <c r="R364" s="5" t="n">
        <v>0.5176102761432566</v>
      </c>
      <c r="S364" s="3" t="n">
        <v>119.6</v>
      </c>
      <c r="T364" s="5" t="n">
        <v>0.8701258435770306</v>
      </c>
      <c r="U364" s="6" t="n"/>
    </row>
    <row r="365">
      <c r="A365" s="2" t="inlineStr">
        <is>
          <t>SECRET GARDEN</t>
        </is>
      </c>
      <c r="B365" s="2" t="inlineStr">
        <is>
          <t>SOUL WRAP SKORT</t>
        </is>
      </c>
      <c r="C365" s="2" t="inlineStr">
        <is>
          <t>26FA25/SUL</t>
        </is>
      </c>
      <c r="D365" s="2" t="n">
        <v>5000</v>
      </c>
      <c r="E365" s="3" t="n">
        <v>36274.27155172414</v>
      </c>
      <c r="F365" s="4" t="n">
        <v>11926</v>
      </c>
      <c r="G365" s="3">
        <f>IF(OR(E365="",F365=""),"",E365+F365)</f>
        <v/>
      </c>
      <c r="H365" s="3" t="n">
        <v>57358.32314655172</v>
      </c>
      <c r="I365" s="3" t="n">
        <v>143395.8078663793</v>
      </c>
      <c r="J365" s="3" t="n">
        <v>149900</v>
      </c>
      <c r="K365" s="3" t="n">
        <v>69281.51260504202</v>
      </c>
      <c r="L365" s="5" t="n">
        <v>0.3042837874152257</v>
      </c>
      <c r="M365" s="3" t="n">
        <v>88176.4705882353</v>
      </c>
      <c r="N365" s="5" t="n">
        <v>0.4533658329691059</v>
      </c>
      <c r="O365" s="3" t="n">
        <v>167250.16</v>
      </c>
      <c r="P365" s="5" t="n">
        <v>0.7118073217285762</v>
      </c>
      <c r="Q365" s="3" t="n">
        <v>117040</v>
      </c>
      <c r="R365" s="5" t="n">
        <v>0.5881726627501356</v>
      </c>
      <c r="S365" s="3" t="n">
        <v>114.4</v>
      </c>
      <c r="T365" s="5" t="n">
        <v>0.8891234092019596</v>
      </c>
      <c r="U365" s="6" t="n"/>
    </row>
    <row r="366">
      <c r="A366" s="2" t="inlineStr">
        <is>
          <t>SECRET GARDEN</t>
        </is>
      </c>
      <c r="B366" s="2" t="inlineStr">
        <is>
          <t>SOUL SLEEP SLEEVELESS SHIRT</t>
        </is>
      </c>
      <c r="C366" s="2" t="inlineStr">
        <is>
          <t>264124/SUL</t>
        </is>
      </c>
      <c r="D366" s="2" t="n">
        <v>5000</v>
      </c>
      <c r="E366" s="3" t="n">
        <v>18336.66</v>
      </c>
      <c r="F366" s="4" t="n">
        <v>11926</v>
      </c>
      <c r="G366" s="3">
        <f>IF(OR(E366="",F366=""),"",E366+F366)</f>
        <v/>
      </c>
      <c r="H366" s="3" t="n">
        <v>36012.5654</v>
      </c>
      <c r="I366" s="3" t="n">
        <v>90031.4135</v>
      </c>
      <c r="J366" s="3" t="n">
        <v>89950</v>
      </c>
      <c r="K366" s="3" t="n">
        <v>41573.52941176471</v>
      </c>
      <c r="L366" s="5" t="n">
        <v>0.2720690201627168</v>
      </c>
      <c r="M366" s="3" t="n">
        <v>52911.76470588235</v>
      </c>
      <c r="N366" s="5" t="n">
        <v>0.4280542301278488</v>
      </c>
      <c r="O366" s="3" t="n">
        <v>49414.82</v>
      </c>
      <c r="P366" s="5" t="n">
        <v>0.3875792727768714</v>
      </c>
      <c r="Q366" s="3" t="n">
        <v>34580</v>
      </c>
      <c r="R366" s="5" t="n">
        <v>0.1248507807981492</v>
      </c>
      <c r="S366" s="3" t="n">
        <v>33.8</v>
      </c>
      <c r="T366" s="5" t="n">
        <v>0.7643829025225787</v>
      </c>
      <c r="U366" s="6" t="n"/>
    </row>
    <row r="367">
      <c r="A367" s="2" t="inlineStr">
        <is>
          <t>SECRET GARDEN</t>
        </is>
      </c>
      <c r="B367" s="2" t="inlineStr">
        <is>
          <t>SOUL SLEEP SHORT</t>
        </is>
      </c>
      <c r="C367" s="2" t="inlineStr">
        <is>
          <t>264222/SUL</t>
        </is>
      </c>
      <c r="D367" s="2" t="n">
        <v>5000</v>
      </c>
      <c r="E367" s="3" t="n">
        <v>18737.81</v>
      </c>
      <c r="F367" s="4" t="n">
        <v>11926</v>
      </c>
      <c r="G367" s="3">
        <f>IF(OR(E367="",F367=""),"",E367+F367)</f>
        <v/>
      </c>
      <c r="H367" s="3" t="n">
        <v>36489.9339</v>
      </c>
      <c r="I367" s="3" t="n">
        <v>91224.83474999999</v>
      </c>
      <c r="J367" s="3" t="n">
        <v>89950</v>
      </c>
      <c r="K367" s="3" t="n">
        <v>41573.52941176471</v>
      </c>
      <c r="L367" s="5" t="n">
        <v>0.2624198514326142</v>
      </c>
      <c r="M367" s="3" t="n">
        <v>52911.76470588235</v>
      </c>
      <c r="N367" s="5" t="n">
        <v>0.4204727404113396</v>
      </c>
      <c r="O367" s="3" t="n">
        <v>49414.82</v>
      </c>
      <c r="P367" s="5" t="n">
        <v>0.3794612628357242</v>
      </c>
      <c r="Q367" s="3" t="n">
        <v>34580</v>
      </c>
      <c r="R367" s="5" t="n">
        <v>0.1132501445922498</v>
      </c>
      <c r="S367" s="3" t="n">
        <v>33.8</v>
      </c>
      <c r="T367" s="5" t="n">
        <v>0.7612596543132981</v>
      </c>
      <c r="U367" s="6" t="n"/>
    </row>
    <row r="368">
      <c r="A368" s="2" t="inlineStr">
        <is>
          <t>SECRET GARDEN</t>
        </is>
      </c>
      <c r="B368" s="2" t="inlineStr">
        <is>
          <t>SOUL SLEEP LONG SHIRT</t>
        </is>
      </c>
      <c r="C368" s="2" t="inlineStr">
        <is>
          <t>264121/SUL</t>
        </is>
      </c>
      <c r="D368" s="2" t="n">
        <v>5000</v>
      </c>
      <c r="E368" s="3" t="n">
        <v>32611.31</v>
      </c>
      <c r="F368" s="4" t="n">
        <v>11926</v>
      </c>
      <c r="G368" s="3">
        <f>IF(OR(E368="",F368=""),"",E368+F368)</f>
        <v/>
      </c>
      <c r="H368" s="3" t="n">
        <v>52999.39889999999</v>
      </c>
      <c r="I368" s="3" t="n">
        <v>132498.49725</v>
      </c>
      <c r="J368" s="3" t="n">
        <v>99950</v>
      </c>
      <c r="K368" s="3" t="n">
        <v>46195.37815126051</v>
      </c>
      <c r="L368" s="5" t="n">
        <v>0.03589251171040089</v>
      </c>
      <c r="M368" s="3" t="n">
        <v>58794.11764705882</v>
      </c>
      <c r="N368" s="5" t="n">
        <v>0.2424869734867433</v>
      </c>
      <c r="O368" s="3" t="n">
        <v>64619.37999999999</v>
      </c>
      <c r="P368" s="5" t="n">
        <v>0.310774724239075</v>
      </c>
      <c r="Q368" s="3" t="n">
        <v>45219.99999999999</v>
      </c>
      <c r="R368" s="5" t="n">
        <v>0.01509708093763811</v>
      </c>
      <c r="S368" s="3" t="n">
        <v>44.2</v>
      </c>
      <c r="T368" s="5" t="n">
        <v>0.7348338294832103</v>
      </c>
      <c r="U368" s="6" t="n"/>
    </row>
    <row r="369">
      <c r="A369" s="2" t="inlineStr">
        <is>
          <t>SECRET GARDEN</t>
        </is>
      </c>
      <c r="B369" s="2" t="inlineStr">
        <is>
          <t>SOUL SLEEP PANTS</t>
        </is>
      </c>
      <c r="C369" s="2" t="inlineStr">
        <is>
          <t>264323/SUL</t>
        </is>
      </c>
      <c r="D369" s="2" t="n">
        <v>5000</v>
      </c>
      <c r="E369" s="3" t="n">
        <v>28786.53</v>
      </c>
      <c r="F369" s="4" t="n">
        <v>11926</v>
      </c>
      <c r="G369" s="3">
        <f>IF(OR(E369="",F369=""),"",E369+F369)</f>
        <v/>
      </c>
      <c r="H369" s="3" t="n">
        <v>48447.91069999999</v>
      </c>
      <c r="I369" s="3" t="n">
        <v>121119.77675</v>
      </c>
      <c r="J369" s="3" t="n">
        <v>99950</v>
      </c>
      <c r="K369" s="3" t="n">
        <v>46195.37815126051</v>
      </c>
      <c r="L369" s="5" t="n">
        <v>0.1186882404838785</v>
      </c>
      <c r="M369" s="3" t="n">
        <v>58794.11764705882</v>
      </c>
      <c r="N369" s="5" t="n">
        <v>0.3075407603801901</v>
      </c>
      <c r="O369" s="3" t="n">
        <v>57017.1</v>
      </c>
      <c r="P369" s="5" t="n">
        <v>0.2859592999293195</v>
      </c>
      <c r="Q369" s="3" t="n">
        <v>39900</v>
      </c>
      <c r="R369" s="5" t="n">
        <v>-0.02036416040100248</v>
      </c>
      <c r="S369" s="3" t="n">
        <v>39</v>
      </c>
      <c r="T369" s="5" t="n">
        <v>0.7252865721997301</v>
      </c>
      <c r="U369" s="6" t="n"/>
    </row>
    <row r="370">
      <c r="A370" s="2" t="inlineStr">
        <is>
          <t>SECRET GARDEN</t>
        </is>
      </c>
      <c r="B370" s="2" t="inlineStr">
        <is>
          <t>SOUL SLEEP SHORT SLEEVELESS SHIRT</t>
        </is>
      </c>
      <c r="C370" s="2" t="inlineStr">
        <is>
          <t>264125/SUL</t>
        </is>
      </c>
      <c r="D370" s="2" t="n">
        <v>5000</v>
      </c>
      <c r="E370" s="3" t="n">
        <v>21807.84375</v>
      </c>
      <c r="F370" s="4" t="n">
        <v>11926</v>
      </c>
      <c r="G370" s="3">
        <f>IF(OR(E370="",F370=""),"",E370+F370)</f>
        <v/>
      </c>
      <c r="H370" s="3" t="n">
        <v>40143.2740625</v>
      </c>
      <c r="I370" s="3" t="n">
        <v>100358.18515625</v>
      </c>
      <c r="J370" s="3" t="n">
        <v>94950</v>
      </c>
      <c r="K370" s="3" t="n">
        <v>43884.45378151261</v>
      </c>
      <c r="L370" s="5" t="n">
        <v>0.2313030961271483</v>
      </c>
      <c r="M370" s="3" t="n">
        <v>55852.94117647059</v>
      </c>
      <c r="N370" s="5" t="n">
        <v>0.3960238612427593</v>
      </c>
      <c r="O370" s="3" t="n">
        <v>57017.1</v>
      </c>
      <c r="P370" s="5" t="n">
        <v>0.4083556731226246</v>
      </c>
      <c r="Q370" s="3" t="n">
        <v>39900</v>
      </c>
      <c r="R370" s="5" t="n">
        <v>0.1545402568922306</v>
      </c>
      <c r="S370" s="3" t="n">
        <v>39</v>
      </c>
      <c r="T370" s="5" t="n">
        <v>0.7723762230094466</v>
      </c>
      <c r="U370" s="6" t="n"/>
    </row>
    <row r="371">
      <c r="A371" s="2" t="inlineStr">
        <is>
          <t>SECRET GARDEN</t>
        </is>
      </c>
      <c r="B371" s="2" t="inlineStr">
        <is>
          <t>SYMBOLS TRIANGLE TOP</t>
        </is>
      </c>
      <c r="C371" s="2" t="inlineStr">
        <is>
          <t>263135/SYMW</t>
        </is>
      </c>
      <c r="D371" s="2" t="n">
        <v>5000</v>
      </c>
      <c r="E371" s="3" t="n">
        <v>23661.8475421436</v>
      </c>
      <c r="F371" s="4" t="n">
        <v>11926</v>
      </c>
      <c r="G371" s="3">
        <f>IF(OR(E371="",F371=""),"",E371+F371)</f>
        <v/>
      </c>
      <c r="H371" s="3" t="n">
        <v>42349.53857515088</v>
      </c>
      <c r="I371" s="3" t="n">
        <v>105873.8464378772</v>
      </c>
      <c r="J371" s="3" t="n">
        <v>109900</v>
      </c>
      <c r="K371" s="3" t="n">
        <v>50794.11764705883</v>
      </c>
      <c r="L371" s="5" t="n">
        <v>0.2993706911216663</v>
      </c>
      <c r="M371" s="3" t="n">
        <v>64647.05882352941</v>
      </c>
      <c r="N371" s="5" t="n">
        <v>0.4495055430241662</v>
      </c>
      <c r="O371" s="3" t="n">
        <v>98829.64</v>
      </c>
      <c r="P371" s="5" t="n">
        <v>0.6399071418033739</v>
      </c>
      <c r="Q371" s="3" t="n">
        <v>69160</v>
      </c>
      <c r="R371" s="5" t="n">
        <v>0.4854273056370214</v>
      </c>
      <c r="S371" s="3" t="n">
        <v>67.60000000000001</v>
      </c>
      <c r="T371" s="5" t="n">
        <v>0.8614611976715058</v>
      </c>
      <c r="U371" s="6" t="n"/>
    </row>
    <row r="372">
      <c r="A372" s="2" t="inlineStr">
        <is>
          <t>SECRET GARDEN</t>
        </is>
      </c>
      <c r="B372" s="2" t="inlineStr">
        <is>
          <t>SYMBOLS STRAP TIE SIDE BOTTOM</t>
        </is>
      </c>
      <c r="C372" s="2" t="inlineStr">
        <is>
          <t>263236/SYMW</t>
        </is>
      </c>
      <c r="D372" s="2" t="n">
        <v>5000</v>
      </c>
      <c r="E372" s="3" t="n">
        <v>28313.72014151925</v>
      </c>
      <c r="F372" s="4" t="n">
        <v>11926</v>
      </c>
      <c r="G372" s="3">
        <f>IF(OR(E372="",F372=""),"",E372+F372)</f>
        <v/>
      </c>
      <c r="H372" s="3" t="n">
        <v>47885.26696840791</v>
      </c>
      <c r="I372" s="3" t="n">
        <v>119713.1674210198</v>
      </c>
      <c r="J372" s="3" t="n">
        <v>119900</v>
      </c>
      <c r="K372" s="3" t="n">
        <v>55415.96638655462</v>
      </c>
      <c r="L372" s="5" t="n">
        <v>0.2738605357736309</v>
      </c>
      <c r="M372" s="3" t="n">
        <v>70529.41176470587</v>
      </c>
      <c r="N372" s="5" t="n">
        <v>0.4294618495364242</v>
      </c>
      <c r="O372" s="3" t="n">
        <v>98829.64</v>
      </c>
      <c r="P372" s="5" t="n">
        <v>0.5928375319234265</v>
      </c>
      <c r="Q372" s="3" t="n">
        <v>69160</v>
      </c>
      <c r="R372" s="5" t="n">
        <v>0.4181648331185764</v>
      </c>
      <c r="S372" s="3" t="n">
        <v>67.60000000000001</v>
      </c>
      <c r="T372" s="5" t="n">
        <v>0.8433520704550014</v>
      </c>
      <c r="U372" s="6" t="n"/>
    </row>
    <row r="373">
      <c r="A373" s="2" t="inlineStr">
        <is>
          <t>SECRET GARDEN</t>
        </is>
      </c>
      <c r="B373" s="2" t="inlineStr">
        <is>
          <t>SYMBOLS RUCHED STRAIGHT TOP</t>
        </is>
      </c>
      <c r="C373" s="2" t="inlineStr">
        <is>
          <t>263175/SYMG</t>
        </is>
      </c>
      <c r="D373" s="2" t="n">
        <v>5000</v>
      </c>
      <c r="E373" s="3" t="n">
        <v>32066.0254</v>
      </c>
      <c r="F373" s="4" t="n">
        <v>11926</v>
      </c>
      <c r="G373" s="3">
        <f>IF(OR(E373="",F373=""),"",E373+F373)</f>
        <v/>
      </c>
      <c r="H373" s="3" t="n">
        <v>52350.510226</v>
      </c>
      <c r="I373" s="3" t="n">
        <v>130876.275565</v>
      </c>
      <c r="J373" s="3" t="n">
        <v>129900</v>
      </c>
      <c r="K373" s="3" t="n">
        <v>60037.81512605043</v>
      </c>
      <c r="L373" s="5" t="n">
        <v>0.2672613867170552</v>
      </c>
      <c r="M373" s="3" t="n">
        <v>76411.76470588235</v>
      </c>
      <c r="N373" s="5" t="n">
        <v>0.4242768038491147</v>
      </c>
      <c r="O373" s="3" t="n">
        <v>106431.92</v>
      </c>
      <c r="P373" s="5" t="n">
        <v>0.5866651151271159</v>
      </c>
      <c r="Q373" s="3" t="n">
        <v>74479.99999999999</v>
      </c>
      <c r="R373" s="5" t="n">
        <v>0.4093444495166487</v>
      </c>
      <c r="S373" s="3" t="n">
        <v>72.8</v>
      </c>
      <c r="T373" s="5" t="n">
        <v>0.840977351792944</v>
      </c>
      <c r="U373" s="6" t="n"/>
    </row>
    <row r="374">
      <c r="A374" s="2" t="inlineStr">
        <is>
          <t>SECRET GARDEN</t>
        </is>
      </c>
      <c r="B374" s="2" t="inlineStr">
        <is>
          <t>SYMBOLS HIGH WAIST BOTTOM</t>
        </is>
      </c>
      <c r="C374" s="2" t="inlineStr">
        <is>
          <t>263223/SYMG</t>
        </is>
      </c>
      <c r="D374" s="2" t="n">
        <v>5000</v>
      </c>
      <c r="E374" s="3" t="n">
        <v>24481.53230769231</v>
      </c>
      <c r="F374" s="4" t="n">
        <v>11926</v>
      </c>
      <c r="G374" s="3">
        <f>IF(OR(E374="",F374=""),"",E374+F374)</f>
        <v/>
      </c>
      <c r="H374" s="3" t="n">
        <v>43324.96344615384</v>
      </c>
      <c r="I374" s="3" t="n">
        <v>108312.4086153846</v>
      </c>
      <c r="J374" s="3" t="n">
        <v>109900</v>
      </c>
      <c r="K374" s="3" t="n">
        <v>50794.11764705883</v>
      </c>
      <c r="L374" s="5" t="n">
        <v>0.2832332956215759</v>
      </c>
      <c r="M374" s="3" t="n">
        <v>64647.05882352941</v>
      </c>
      <c r="N374" s="5" t="n">
        <v>0.4368261608455238</v>
      </c>
      <c r="O374" s="3" t="n">
        <v>98829.64</v>
      </c>
      <c r="P374" s="5" t="n">
        <v>0.631613225468672</v>
      </c>
      <c r="Q374" s="3" t="n">
        <v>69160</v>
      </c>
      <c r="R374" s="5" t="n">
        <v>0.4735752991947324</v>
      </c>
      <c r="S374" s="3" t="n">
        <v>67.60000000000001</v>
      </c>
      <c r="T374" s="5" t="n">
        <v>0.8582702728601203</v>
      </c>
      <c r="U374" s="6" t="n"/>
    </row>
    <row r="375">
      <c r="A375" s="2" t="inlineStr">
        <is>
          <t>SECRET GARDEN</t>
        </is>
      </c>
      <c r="B375" s="2" t="inlineStr">
        <is>
          <t>SYMBOLS UNDERWIRE ONE PIECE</t>
        </is>
      </c>
      <c r="C375" s="2" t="inlineStr">
        <is>
          <t>263341/SYMW</t>
        </is>
      </c>
      <c r="D375" s="2" t="n">
        <v>5000</v>
      </c>
      <c r="E375" s="3" t="n">
        <v>49820.17444444444</v>
      </c>
      <c r="F375" s="4" t="n">
        <v>11926</v>
      </c>
      <c r="G375" s="3">
        <f>IF(OR(E375="",F375=""),"",E375+F375)</f>
        <v/>
      </c>
      <c r="H375" s="3" t="n">
        <v>73477.94758888888</v>
      </c>
      <c r="I375" s="3" t="n">
        <v>183694.8689722222</v>
      </c>
      <c r="J375" s="3" t="n">
        <v>199900</v>
      </c>
      <c r="K375" s="3" t="n">
        <v>92390.75630252103</v>
      </c>
      <c r="L375" s="5" t="n">
        <v>0.331684500533095</v>
      </c>
      <c r="M375" s="3" t="n">
        <v>117588.2352941176</v>
      </c>
      <c r="N375" s="5" t="n">
        <v>0.4748949647045745</v>
      </c>
      <c r="O375" s="3" t="n">
        <v>190057</v>
      </c>
      <c r="P375" s="5" t="n">
        <v>0.6751175992231571</v>
      </c>
      <c r="Q375" s="3" t="n">
        <v>133000</v>
      </c>
      <c r="R375" s="5" t="n">
        <v>0.5357430492898914</v>
      </c>
      <c r="S375" s="3" t="n">
        <v>130</v>
      </c>
      <c r="T375" s="5" t="n">
        <v>0.8750077440395861</v>
      </c>
      <c r="U375" s="6" t="n"/>
    </row>
    <row r="376">
      <c r="A376" s="2" t="inlineStr">
        <is>
          <t>SECRET GARDEN</t>
        </is>
      </c>
      <c r="B376" s="2" t="inlineStr">
        <is>
          <t>SYMBOLS ONE SHOULDER ONE PIECE</t>
        </is>
      </c>
      <c r="C376" s="2" t="inlineStr">
        <is>
          <t>263326/SYMG</t>
        </is>
      </c>
      <c r="D376" s="2" t="n">
        <v>5000</v>
      </c>
      <c r="E376" s="3" t="n">
        <v>50818.26518928901</v>
      </c>
      <c r="F376" s="4" t="n">
        <v>11926</v>
      </c>
      <c r="G376" s="3">
        <f>IF(OR(E376="",F376=""),"",E376+F376)</f>
        <v/>
      </c>
      <c r="H376" s="3" t="n">
        <v>74665.67557525392</v>
      </c>
      <c r="I376" s="3" t="n">
        <v>186664.1889381348</v>
      </c>
      <c r="J376" s="3" t="n">
        <v>199900</v>
      </c>
      <c r="K376" s="3" t="n">
        <v>92390.75630252103</v>
      </c>
      <c r="L376" s="5" t="n">
        <v>0.3208815719200154</v>
      </c>
      <c r="M376" s="3" t="n">
        <v>117588.2352941176</v>
      </c>
      <c r="N376" s="5" t="n">
        <v>0.4664069493657262</v>
      </c>
      <c r="O376" s="3" t="n">
        <v>197659.28</v>
      </c>
      <c r="P376" s="5" t="n">
        <v>0.6825635245191168</v>
      </c>
      <c r="Q376" s="3" t="n">
        <v>138320</v>
      </c>
      <c r="R376" s="5" t="n">
        <v>0.546383276537818</v>
      </c>
      <c r="S376" s="3" t="n">
        <v>135.2</v>
      </c>
      <c r="T376" s="5" t="n">
        <v>0.8778724206063356</v>
      </c>
      <c r="U376" s="6" t="n"/>
    </row>
    <row r="377">
      <c r="A377" s="2" t="inlineStr">
        <is>
          <t>SECRET GARDEN</t>
        </is>
      </c>
      <c r="B377" s="2" t="inlineStr">
        <is>
          <t>SYMBOLS PAREO</t>
        </is>
      </c>
      <c r="C377" s="2" t="inlineStr">
        <is>
          <t>26RE22/SYMW</t>
        </is>
      </c>
      <c r="D377" s="2" t="n">
        <v>5000</v>
      </c>
      <c r="E377" s="3" t="n">
        <v>31861.02857142857</v>
      </c>
      <c r="F377" s="4" t="n">
        <v>11926</v>
      </c>
      <c r="G377" s="3">
        <f>IF(OR(E377="",F377=""),"",E377+F377)</f>
        <v/>
      </c>
      <c r="H377" s="3" t="n">
        <v>52106.564</v>
      </c>
      <c r="I377" s="3" t="n">
        <v>130266.41</v>
      </c>
      <c r="J377" s="3" t="n">
        <v>139900</v>
      </c>
      <c r="K377" s="3" t="n">
        <v>64659.66386554623</v>
      </c>
      <c r="L377" s="5" t="n">
        <v>0.322807667814673</v>
      </c>
      <c r="M377" s="3" t="n">
        <v>82294.11764705883</v>
      </c>
      <c r="N377" s="5" t="n">
        <v>0.4679203104258144</v>
      </c>
      <c r="O377" s="3" t="n">
        <v>136841.04</v>
      </c>
      <c r="P377" s="5" t="n">
        <v>0.6800153771746504</v>
      </c>
      <c r="Q377" s="3" t="n">
        <v>95760</v>
      </c>
      <c r="R377" s="5" t="n">
        <v>0.5427419739825755</v>
      </c>
      <c r="S377" s="3" t="n">
        <v>93.60000000000001</v>
      </c>
      <c r="T377" s="5" t="n">
        <v>0.8768920699183858</v>
      </c>
      <c r="U377" s="6" t="n"/>
    </row>
    <row r="378">
      <c r="A378" s="2" t="inlineStr">
        <is>
          <t>SECRET GARDEN</t>
        </is>
      </c>
      <c r="B378" s="2" t="inlineStr">
        <is>
          <t>TOALLA SYMBOLS</t>
        </is>
      </c>
      <c r="C378" s="2" t="inlineStr">
        <is>
          <t>26TO27/SYMW</t>
        </is>
      </c>
      <c r="D378" s="2" t="n">
        <v>5000</v>
      </c>
      <c r="E378" s="3" t="n">
        <v>35704.62</v>
      </c>
      <c r="F378" s="4" t="n">
        <v>11926</v>
      </c>
      <c r="G378" s="3">
        <f>IF(OR(E378="",F378=""),"",E378+F378)</f>
        <v/>
      </c>
      <c r="H378" s="3" t="n">
        <v>56680.4378</v>
      </c>
      <c r="I378" s="3" t="n">
        <v>141701.0945</v>
      </c>
      <c r="J378" s="3" t="n">
        <v>89900</v>
      </c>
      <c r="K378" s="3" t="n">
        <v>41550.42016806723</v>
      </c>
      <c r="L378" s="5" t="n">
        <v>-0.1463330528870461</v>
      </c>
      <c r="M378" s="3" t="n">
        <v>52882.35294117647</v>
      </c>
      <c r="N378" s="5" t="n">
        <v>0.09930974416017789</v>
      </c>
      <c r="O378" s="3" t="n">
        <v>144443.32</v>
      </c>
      <c r="P378" s="5" t="n">
        <v>0.6702469868457746</v>
      </c>
      <c r="Q378" s="3" t="n">
        <v>101080</v>
      </c>
      <c r="R378" s="5" t="n">
        <v>0.5287829442026117</v>
      </c>
      <c r="S378" s="3" t="n">
        <v>98.8</v>
      </c>
      <c r="T378" s="5" t="n">
        <v>0.8731338695930109</v>
      </c>
      <c r="U378" s="6" t="n"/>
    </row>
    <row r="379">
      <c r="A379" s="2" t="inlineStr">
        <is>
          <t>SECRET GARDEN</t>
        </is>
      </c>
      <c r="B379" s="2" t="inlineStr">
        <is>
          <t>SYMBOLS MESH LONG DRESS</t>
        </is>
      </c>
      <c r="C379" s="2" t="inlineStr">
        <is>
          <t>26VE36/SYMW</t>
        </is>
      </c>
      <c r="D379" s="2" t="n">
        <v>5000</v>
      </c>
      <c r="E379" s="3" t="n">
        <v>48425</v>
      </c>
      <c r="F379" s="4" t="n">
        <v>11926</v>
      </c>
      <c r="G379" s="3">
        <f>IF(OR(E379="",F379=""),"",E379+F379)</f>
        <v/>
      </c>
      <c r="H379" s="3" t="n">
        <v>71817.69</v>
      </c>
      <c r="I379" s="3" t="n">
        <v>179544.225</v>
      </c>
      <c r="J379" s="3" t="n">
        <v>169900</v>
      </c>
      <c r="K379" s="3" t="n">
        <v>78525.21008403362</v>
      </c>
      <c r="L379" s="5" t="n">
        <v>0.2314442720316764</v>
      </c>
      <c r="M379" s="3" t="n">
        <v>99941.17647058824</v>
      </c>
      <c r="N379" s="5" t="n">
        <v>0.3961347851677458</v>
      </c>
      <c r="O379" s="3" t="n">
        <v>182454.72</v>
      </c>
      <c r="P379" s="5" t="n">
        <v>0.669227521217319</v>
      </c>
      <c r="Q379" s="3" t="n">
        <v>127680</v>
      </c>
      <c r="R379" s="5" t="n">
        <v>0.5273261278195488</v>
      </c>
      <c r="S379" s="3" t="n">
        <v>124.8</v>
      </c>
      <c r="T379" s="5" t="n">
        <v>0.8727416497975709</v>
      </c>
      <c r="U379" s="6" t="n"/>
    </row>
    <row r="380">
      <c r="A380" s="2" t="inlineStr">
        <is>
          <t>SECRET GARDEN</t>
        </is>
      </c>
      <c r="B380" s="2" t="inlineStr">
        <is>
          <t>SYMBOLS MESH LONG SHIRT</t>
        </is>
      </c>
      <c r="C380" s="2" t="inlineStr">
        <is>
          <t>26CA32/SYMW</t>
        </is>
      </c>
      <c r="D380" s="2" t="n">
        <v>5000</v>
      </c>
      <c r="E380" s="3" t="n">
        <v>30552</v>
      </c>
      <c r="F380" s="4" t="n">
        <v>11926</v>
      </c>
      <c r="G380" s="3">
        <f>IF(OR(E380="",F380=""),"",E380+F380)</f>
        <v/>
      </c>
      <c r="H380" s="3" t="n">
        <v>50548.82</v>
      </c>
      <c r="I380" s="3" t="n">
        <v>126372.05</v>
      </c>
      <c r="J380" s="3" t="n">
        <v>119900</v>
      </c>
      <c r="K380" s="3" t="n">
        <v>55415.96638655462</v>
      </c>
      <c r="L380" s="5" t="n">
        <v>0.2334700128895292</v>
      </c>
      <c r="M380" s="3" t="n">
        <v>70529.41176470587</v>
      </c>
      <c r="N380" s="5" t="n">
        <v>0.3977264386989157</v>
      </c>
      <c r="O380" s="3" t="n">
        <v>114034.2</v>
      </c>
      <c r="P380" s="5" t="n">
        <v>0.6274977155976014</v>
      </c>
      <c r="Q380" s="3" t="n">
        <v>79800</v>
      </c>
      <c r="R380" s="5" t="n">
        <v>0.4676942355889724</v>
      </c>
      <c r="S380" s="3" t="n">
        <v>78</v>
      </c>
      <c r="T380" s="5" t="n">
        <v>0.8566869095816464</v>
      </c>
      <c r="U380" s="6" t="n"/>
    </row>
    <row r="381">
      <c r="A381" s="2" t="inlineStr">
        <is>
          <t>SECRET GARDEN</t>
        </is>
      </c>
      <c r="B381" s="2" t="inlineStr">
        <is>
          <t>SYMBOLS SHIRT</t>
        </is>
      </c>
      <c r="C381" s="2" t="inlineStr">
        <is>
          <t>26CA21/SYMG</t>
        </is>
      </c>
      <c r="D381" s="2" t="n">
        <v>5000</v>
      </c>
      <c r="E381" s="3" t="n">
        <v>47099.20661111111</v>
      </c>
      <c r="F381" s="4" t="n">
        <v>11926</v>
      </c>
      <c r="G381" s="3">
        <f>IF(OR(E381="",F381=""),"",E381+F381)</f>
        <v/>
      </c>
      <c r="H381" s="3" t="n">
        <v>70239.99586722223</v>
      </c>
      <c r="I381" s="3" t="n">
        <v>175599.9896680555</v>
      </c>
      <c r="J381" s="3" t="n">
        <v>169900</v>
      </c>
      <c r="K381" s="3" t="n">
        <v>78525.21008403362</v>
      </c>
      <c r="L381" s="5" t="n">
        <v>0.2483279376400854</v>
      </c>
      <c r="M381" s="3" t="n">
        <v>99941.17647058824</v>
      </c>
      <c r="N381" s="5" t="n">
        <v>0.4094005224314957</v>
      </c>
      <c r="O381" s="3" t="n">
        <v>174852.44</v>
      </c>
      <c r="P381" s="5" t="n">
        <v>0.6624284647608514</v>
      </c>
      <c r="Q381" s="3" t="n">
        <v>122360</v>
      </c>
      <c r="R381" s="5" t="n">
        <v>0.5176102761432566</v>
      </c>
      <c r="S381" s="3" t="n">
        <v>119.6</v>
      </c>
      <c r="T381" s="5" t="n">
        <v>0.8701258435770306</v>
      </c>
      <c r="U381" s="6" t="n"/>
    </row>
    <row r="382">
      <c r="A382" s="2" t="inlineStr">
        <is>
          <t>SECRET GARDEN</t>
        </is>
      </c>
      <c r="B382" s="2" t="inlineStr">
        <is>
          <t>SYMBOLS CARGO PANTS</t>
        </is>
      </c>
      <c r="C382" s="2" t="inlineStr">
        <is>
          <t>26PA25/SYMG</t>
        </is>
      </c>
      <c r="D382" s="2" t="n">
        <v>5000</v>
      </c>
      <c r="E382" s="3" t="n">
        <v>64756.51568253968</v>
      </c>
      <c r="F382" s="4" t="n">
        <v>11926</v>
      </c>
      <c r="G382" s="3">
        <f>IF(OR(E382="",F382=""),"",E382+F382)</f>
        <v/>
      </c>
      <c r="H382" s="3" t="n">
        <v>91252.19366222223</v>
      </c>
      <c r="I382" s="3" t="n">
        <v>228130.4841555555</v>
      </c>
      <c r="J382" s="3" t="n">
        <v>189900</v>
      </c>
      <c r="K382" s="3" t="n">
        <v>87768.90756302522</v>
      </c>
      <c r="L382" s="5" t="n">
        <v>0.1263134313540886</v>
      </c>
      <c r="M382" s="3" t="n">
        <v>111705.8823529412</v>
      </c>
      <c r="N382" s="5" t="n">
        <v>0.3135319817782124</v>
      </c>
      <c r="O382" s="3" t="n">
        <v>212863.84</v>
      </c>
      <c r="P382" s="5" t="n">
        <v>0.6397579049474083</v>
      </c>
      <c r="Q382" s="3" t="n">
        <v>148960</v>
      </c>
      <c r="R382" s="5" t="n">
        <v>0.4852140461698463</v>
      </c>
      <c r="S382" s="3" t="n">
        <v>145.6</v>
      </c>
      <c r="T382" s="5" t="n">
        <v>0.8614037816611125</v>
      </c>
      <c r="U382" s="6" t="n"/>
    </row>
    <row r="383">
      <c r="A383" s="2" t="inlineStr">
        <is>
          <t>SECRET GARDEN</t>
        </is>
      </c>
      <c r="B383" s="2" t="inlineStr">
        <is>
          <t>SYMBOLS LONG SKIRT</t>
        </is>
      </c>
      <c r="C383" s="2" t="inlineStr">
        <is>
          <t>26FA24/SYMW</t>
        </is>
      </c>
      <c r="D383" s="2" t="n">
        <v>5000</v>
      </c>
      <c r="E383" s="3" t="n">
        <v>43090.69215555555</v>
      </c>
      <c r="F383" s="4" t="n">
        <v>11926</v>
      </c>
      <c r="G383" s="3">
        <f>IF(OR(E383="",F383=""),"",E383+F383)</f>
        <v/>
      </c>
      <c r="H383" s="3" t="n">
        <v>65469.86366511111</v>
      </c>
      <c r="I383" s="3" t="n">
        <v>163674.6591627778</v>
      </c>
      <c r="J383" s="3" t="n">
        <v>159900</v>
      </c>
      <c r="K383" s="3" t="n">
        <v>73903.36134453783</v>
      </c>
      <c r="L383" s="5" t="n">
        <v>0.2555590009083962</v>
      </c>
      <c r="M383" s="3" t="n">
        <v>94058.82352941176</v>
      </c>
      <c r="N383" s="5" t="n">
        <v>0.4150820721423112</v>
      </c>
      <c r="O383" s="3" t="n">
        <v>182454.72</v>
      </c>
      <c r="P383" s="5" t="n">
        <v>0.6984638591122467</v>
      </c>
      <c r="Q383" s="3" t="n">
        <v>127680</v>
      </c>
      <c r="R383" s="5" t="n">
        <v>0.5691048546714007</v>
      </c>
      <c r="S383" s="3" t="n">
        <v>124.8</v>
      </c>
      <c r="T383" s="5" t="n">
        <v>0.8839897685653771</v>
      </c>
      <c r="U383" s="6" t="n"/>
    </row>
    <row r="384">
      <c r="A384" s="2" t="inlineStr">
        <is>
          <t>SECRET GARDEN</t>
        </is>
      </c>
      <c r="B384" s="2" t="inlineStr">
        <is>
          <t>SYMBOLS SLEEP SHORT SLEEVELESS SHIRT</t>
        </is>
      </c>
      <c r="C384" s="2" t="inlineStr">
        <is>
          <t>264125/SYMW</t>
        </is>
      </c>
      <c r="D384" s="2" t="n">
        <v>5000</v>
      </c>
      <c r="E384" s="3" t="n">
        <v>21807.84375</v>
      </c>
      <c r="F384" s="4" t="n">
        <v>11926</v>
      </c>
      <c r="G384" s="3">
        <f>IF(OR(E384="",F384=""),"",E384+F384)</f>
        <v/>
      </c>
      <c r="H384" s="3" t="n">
        <v>40143.2740625</v>
      </c>
      <c r="I384" s="3" t="n">
        <v>100358.18515625</v>
      </c>
      <c r="J384" s="3" t="n">
        <v>94950</v>
      </c>
      <c r="K384" s="3" t="n">
        <v>43884.45378151261</v>
      </c>
      <c r="L384" s="5" t="n">
        <v>0.2313030961271483</v>
      </c>
      <c r="M384" s="3" t="n">
        <v>55852.94117647059</v>
      </c>
      <c r="N384" s="5" t="n">
        <v>0.3960238612427593</v>
      </c>
      <c r="O384" s="3" t="n">
        <v>57017.1</v>
      </c>
      <c r="P384" s="5" t="n">
        <v>0.4083556731226246</v>
      </c>
      <c r="Q384" s="3" t="n">
        <v>39900</v>
      </c>
      <c r="R384" s="5" t="n">
        <v>0.1545402568922306</v>
      </c>
      <c r="S384" s="3" t="n">
        <v>39</v>
      </c>
      <c r="T384" s="5" t="n">
        <v>0.7723762230094466</v>
      </c>
      <c r="U384" s="6" t="n"/>
    </row>
    <row r="385">
      <c r="A385" s="2" t="inlineStr">
        <is>
          <t>SECRET GARDEN</t>
        </is>
      </c>
      <c r="B385" s="2" t="inlineStr">
        <is>
          <t>SYMBOLS SLEEP PANTS</t>
        </is>
      </c>
      <c r="C385" s="2" t="inlineStr">
        <is>
          <t>264323/SYMW</t>
        </is>
      </c>
      <c r="D385" s="2" t="n">
        <v>5000</v>
      </c>
      <c r="E385" s="3" t="n">
        <v>28786.53</v>
      </c>
      <c r="F385" s="4" t="n">
        <v>11926</v>
      </c>
      <c r="G385" s="3">
        <f>IF(OR(E385="",F385=""),"",E385+F385)</f>
        <v/>
      </c>
      <c r="H385" s="3" t="n">
        <v>48447.91069999999</v>
      </c>
      <c r="I385" s="3" t="n">
        <v>121119.77675</v>
      </c>
      <c r="J385" s="3" t="n">
        <v>99950</v>
      </c>
      <c r="K385" s="3" t="n">
        <v>46195.37815126051</v>
      </c>
      <c r="L385" s="5" t="n">
        <v>0.1186882404838785</v>
      </c>
      <c r="M385" s="3" t="n">
        <v>58794.11764705882</v>
      </c>
      <c r="N385" s="5" t="n">
        <v>0.3075407603801901</v>
      </c>
      <c r="O385" s="3" t="n">
        <v>57017.1</v>
      </c>
      <c r="P385" s="5" t="n">
        <v>0.2859592999293195</v>
      </c>
      <c r="Q385" s="3" t="n">
        <v>39900</v>
      </c>
      <c r="R385" s="5" t="n">
        <v>-0.02036416040100248</v>
      </c>
      <c r="S385" s="3" t="n">
        <v>39</v>
      </c>
      <c r="T385" s="5" t="n">
        <v>0.7252865721997301</v>
      </c>
      <c r="U385" s="6" t="n"/>
    </row>
    <row r="386">
      <c r="A386" s="2" t="inlineStr">
        <is>
          <t>SECRET GARDEN</t>
        </is>
      </c>
      <c r="B386" s="2" t="inlineStr">
        <is>
          <t>SYMBOLS SLEEP SHORT</t>
        </is>
      </c>
      <c r="C386" s="2" t="inlineStr">
        <is>
          <t>264222/SYMW</t>
        </is>
      </c>
      <c r="D386" s="2" t="n">
        <v>5000</v>
      </c>
      <c r="E386" s="3" t="n">
        <v>18737.81</v>
      </c>
      <c r="F386" s="4" t="n">
        <v>11926</v>
      </c>
      <c r="G386" s="3">
        <f>IF(OR(E386="",F386=""),"",E386+F386)</f>
        <v/>
      </c>
      <c r="H386" s="3" t="n">
        <v>36489.9339</v>
      </c>
      <c r="I386" s="3" t="n">
        <v>91224.83474999999</v>
      </c>
      <c r="J386" s="3" t="n">
        <v>89950</v>
      </c>
      <c r="K386" s="3" t="n">
        <v>41573.52941176471</v>
      </c>
      <c r="L386" s="5" t="n">
        <v>0.2624198514326142</v>
      </c>
      <c r="M386" s="3" t="n">
        <v>52911.76470588235</v>
      </c>
      <c r="N386" s="5" t="n">
        <v>0.4204727404113396</v>
      </c>
      <c r="O386" s="3" t="n">
        <v>49414.82</v>
      </c>
      <c r="P386" s="5" t="n">
        <v>0.3794612628357242</v>
      </c>
      <c r="Q386" s="3" t="n">
        <v>34580</v>
      </c>
      <c r="R386" s="5" t="n">
        <v>0.1132501445922498</v>
      </c>
      <c r="S386" s="3" t="n">
        <v>33.8</v>
      </c>
      <c r="T386" s="5" t="n">
        <v>0.7612596543132981</v>
      </c>
      <c r="U386" s="6" t="n"/>
    </row>
    <row r="387">
      <c r="A387" s="2" t="inlineStr">
        <is>
          <t>SECRET GARDEN</t>
        </is>
      </c>
      <c r="B387" s="2" t="inlineStr">
        <is>
          <t>I'M WHITE MESH CUT OUT ONE PIECE</t>
        </is>
      </c>
      <c r="C387" s="2" t="inlineStr">
        <is>
          <t>263371/WHT</t>
        </is>
      </c>
      <c r="D387" s="2" t="n">
        <v>5000</v>
      </c>
      <c r="E387" s="3" t="n">
        <v>47428.55785714286</v>
      </c>
      <c r="F387" s="4" t="n">
        <v>11926</v>
      </c>
      <c r="G387" s="3">
        <f>IF(OR(E387="",F387=""),"",E387+F387)</f>
        <v/>
      </c>
      <c r="H387" s="3" t="n">
        <v>70631.92385000001</v>
      </c>
      <c r="I387" s="3" t="n">
        <v>176579.809625</v>
      </c>
      <c r="J387" s="3" t="n">
        <v>189900</v>
      </c>
      <c r="K387" s="3" t="n">
        <v>87768.90756302522</v>
      </c>
      <c r="L387" s="5" t="n">
        <v>0.3237404964335296</v>
      </c>
      <c r="M387" s="3" t="n">
        <v>111705.8823529412</v>
      </c>
      <c r="N387" s="5" t="n">
        <v>0.4686532471977732</v>
      </c>
      <c r="O387" s="3" t="n">
        <v>190057</v>
      </c>
      <c r="P387" s="5" t="n">
        <v>0.6877012798416114</v>
      </c>
      <c r="Q387" s="3" t="n">
        <v>133000</v>
      </c>
      <c r="R387" s="5" t="n">
        <v>0.5537251288936627</v>
      </c>
      <c r="S387" s="3" t="n">
        <v>130</v>
      </c>
      <c r="T387" s="5" t="n">
        <v>0.8798490731636783</v>
      </c>
      <c r="U387" s="6" t="n"/>
    </row>
    <row r="388">
      <c r="A388" s="2" t="inlineStr">
        <is>
          <t>SECRET GARDEN</t>
        </is>
      </c>
      <c r="B388" s="2" t="inlineStr">
        <is>
          <t>I'M WHITE MESH SPORTY TOP</t>
        </is>
      </c>
      <c r="C388" s="2" t="inlineStr">
        <is>
          <t>263176/WHT</t>
        </is>
      </c>
      <c r="D388" s="2" t="n">
        <v>5000</v>
      </c>
      <c r="E388" s="3" t="n">
        <v>35895.86448275862</v>
      </c>
      <c r="F388" s="4" t="n">
        <v>11926</v>
      </c>
      <c r="G388" s="3">
        <f>IF(OR(E388="",F388=""),"",E388+F388)</f>
        <v/>
      </c>
      <c r="H388" s="3" t="n">
        <v>56908.01873448276</v>
      </c>
      <c r="I388" s="3" t="n">
        <v>142270.0468362069</v>
      </c>
      <c r="J388" s="3" t="n">
        <v>139900</v>
      </c>
      <c r="K388" s="3" t="n">
        <v>64659.66386554623</v>
      </c>
      <c r="L388" s="5" t="n">
        <v>0.2604065405876567</v>
      </c>
      <c r="M388" s="3" t="n">
        <v>82294.11764705883</v>
      </c>
      <c r="N388" s="5" t="n">
        <v>0.418890853318873</v>
      </c>
      <c r="O388" s="3" t="n">
        <v>125437.62</v>
      </c>
      <c r="P388" s="5" t="n">
        <v>0.6187597908605199</v>
      </c>
      <c r="Q388" s="3" t="n">
        <v>87779.99999999999</v>
      </c>
      <c r="R388" s="5" t="n">
        <v>0.4552077411396829</v>
      </c>
      <c r="S388" s="3" t="n">
        <v>85.8</v>
      </c>
      <c r="T388" s="5" t="n">
        <v>0.8533251610760685</v>
      </c>
      <c r="U388" s="6" t="n"/>
    </row>
    <row r="389">
      <c r="A389" s="2" t="inlineStr">
        <is>
          <t>SECRET GARDEN</t>
        </is>
      </c>
      <c r="B389" s="2" t="inlineStr">
        <is>
          <t>I'M WHITE MESH HIGH WAIST BOTTOM</t>
        </is>
      </c>
      <c r="C389" s="2" t="inlineStr">
        <is>
          <t>263244/WHT</t>
        </is>
      </c>
      <c r="D389" s="2" t="n">
        <v>5000</v>
      </c>
      <c r="E389" s="3" t="n">
        <v>24454.80827586207</v>
      </c>
      <c r="F389" s="4" t="n">
        <v>11926</v>
      </c>
      <c r="G389" s="3">
        <f>IF(OR(E389="",F389=""),"",E389+F389)</f>
        <v/>
      </c>
      <c r="H389" s="3" t="n">
        <v>43293.16184827586</v>
      </c>
      <c r="I389" s="3" t="n">
        <v>108232.9046206897</v>
      </c>
      <c r="J389" s="3" t="n">
        <v>109900</v>
      </c>
      <c r="K389" s="3" t="n">
        <v>50794.11764705883</v>
      </c>
      <c r="L389" s="5" t="n">
        <v>0.2837594201625301</v>
      </c>
      <c r="M389" s="3" t="n">
        <v>64647.05882352941</v>
      </c>
      <c r="N389" s="5" t="n">
        <v>0.4372395444134164</v>
      </c>
      <c r="O389" s="3" t="n">
        <v>114034.2</v>
      </c>
      <c r="P389" s="5" t="n">
        <v>0.6809658130993853</v>
      </c>
      <c r="Q389" s="3" t="n">
        <v>79800</v>
      </c>
      <c r="R389" s="5" t="n">
        <v>0.5441001469190216</v>
      </c>
      <c r="S389" s="3" t="n">
        <v>78</v>
      </c>
      <c r="T389" s="5" t="n">
        <v>0.8772577318628135</v>
      </c>
      <c r="U389" s="6" t="n"/>
    </row>
    <row r="390">
      <c r="A390" s="2" t="inlineStr">
        <is>
          <t>SECRET GARDEN</t>
        </is>
      </c>
      <c r="B390" s="2" t="inlineStr">
        <is>
          <t>I'M WHITE UNDERWIRE BRALETTE TOP</t>
        </is>
      </c>
      <c r="C390" s="2" t="inlineStr">
        <is>
          <t>263149/WHT</t>
        </is>
      </c>
      <c r="D390" s="2" t="n">
        <v>5000</v>
      </c>
      <c r="E390" s="3" t="n">
        <v>56682.22857142858</v>
      </c>
      <c r="F390" s="4" t="n">
        <v>11926</v>
      </c>
      <c r="G390" s="3">
        <f>IF(OR(E390="",F390=""),"",E390+F390)</f>
        <v/>
      </c>
      <c r="H390" s="3" t="n">
        <v>81643.79199999999</v>
      </c>
      <c r="I390" s="3" t="n">
        <v>204109.48</v>
      </c>
      <c r="J390" s="3" t="n">
        <v>179900</v>
      </c>
      <c r="K390" s="3" t="n">
        <v>83147.05882352943</v>
      </c>
      <c r="L390" s="5" t="n">
        <v>0.1748568194451465</v>
      </c>
      <c r="M390" s="3" t="n">
        <v>105823.5294117647</v>
      </c>
      <c r="N390" s="5" t="n">
        <v>0.3516732152783292</v>
      </c>
      <c r="O390" s="3" t="n">
        <v>144443.32</v>
      </c>
      <c r="P390" s="5" t="n">
        <v>0.5250162584782143</v>
      </c>
      <c r="Q390" s="3" t="n">
        <v>101080</v>
      </c>
      <c r="R390" s="5" t="n">
        <v>0.3212482333653682</v>
      </c>
      <c r="S390" s="3" t="n">
        <v>98.8</v>
      </c>
      <c r="T390" s="5" t="n">
        <v>0.8172591397522145</v>
      </c>
      <c r="U390" s="6" t="n"/>
    </row>
    <row r="391">
      <c r="A391" s="2" t="inlineStr">
        <is>
          <t>SECRET GARDEN</t>
        </is>
      </c>
      <c r="B391" s="2" t="inlineStr">
        <is>
          <t>I'M WHITE MESH HIGH LEG BOTTOM</t>
        </is>
      </c>
      <c r="C391" s="2" t="inlineStr">
        <is>
          <t>263245/WHT</t>
        </is>
      </c>
      <c r="D391" s="2" t="n">
        <v>5000</v>
      </c>
      <c r="E391" s="3" t="n">
        <v>21518.53283333333</v>
      </c>
      <c r="F391" s="4" t="n">
        <v>11926</v>
      </c>
      <c r="G391" s="3">
        <f>IF(OR(E391="",F391=""),"",E391+F391)</f>
        <v/>
      </c>
      <c r="H391" s="3" t="n">
        <v>39798.99407166666</v>
      </c>
      <c r="I391" s="3" t="n">
        <v>99497.48517916666</v>
      </c>
      <c r="J391" s="3" t="n">
        <v>109900</v>
      </c>
      <c r="K391" s="3" t="n">
        <v>50794.11764705883</v>
      </c>
      <c r="L391" s="5" t="n">
        <v>0.3415668116193786</v>
      </c>
      <c r="M391" s="3" t="n">
        <v>64647.05882352941</v>
      </c>
      <c r="N391" s="5" t="n">
        <v>0.4826596377009402</v>
      </c>
      <c r="O391" s="3" t="n">
        <v>125437.62</v>
      </c>
      <c r="P391" s="5" t="n">
        <v>0.7333771731850992</v>
      </c>
      <c r="Q391" s="3" t="n">
        <v>87779.99999999999</v>
      </c>
      <c r="R391" s="5" t="n">
        <v>0.6189959804815067</v>
      </c>
      <c r="S391" s="3" t="n">
        <v>85.8</v>
      </c>
      <c r="T391" s="5" t="n">
        <v>0.8974219947450209</v>
      </c>
      <c r="U391" s="6" t="n"/>
    </row>
    <row r="392">
      <c r="A392" s="2" t="inlineStr">
        <is>
          <t>SECRET GARDEN</t>
        </is>
      </c>
      <c r="B392" s="2" t="inlineStr">
        <is>
          <t>I'M WHITE RUFFLE MESH MINI SKIRT</t>
        </is>
      </c>
      <c r="C392" s="2" t="inlineStr">
        <is>
          <t>26FA26/WHT</t>
        </is>
      </c>
      <c r="D392" s="2" t="n">
        <v>5000</v>
      </c>
      <c r="E392" s="3" t="n">
        <v>23922.19</v>
      </c>
      <c r="F392" s="4" t="n">
        <v>11926</v>
      </c>
      <c r="G392" s="3">
        <f>IF(OR(E392="",F392=""),"",E392+F392)</f>
        <v/>
      </c>
      <c r="H392" s="3" t="n">
        <v>42659.3461</v>
      </c>
      <c r="I392" s="3" t="n">
        <v>106648.36525</v>
      </c>
      <c r="J392" s="3" t="n">
        <v>129900</v>
      </c>
      <c r="K392" s="3" t="n">
        <v>60037.81512605043</v>
      </c>
      <c r="L392" s="5" t="n">
        <v>0.4029064861081952</v>
      </c>
      <c r="M392" s="3" t="n">
        <v>76411.76470588235</v>
      </c>
      <c r="N392" s="5" t="n">
        <v>0.5308550962278675</v>
      </c>
      <c r="O392" s="3" t="n">
        <v>114034.2</v>
      </c>
      <c r="P392" s="5" t="n">
        <v>0.6856365020318466</v>
      </c>
      <c r="Q392" s="3" t="n">
        <v>79800</v>
      </c>
      <c r="R392" s="5" t="n">
        <v>0.5507745614035088</v>
      </c>
      <c r="S392" s="3" t="n">
        <v>78</v>
      </c>
      <c r="T392" s="5" t="n">
        <v>0.879054689608637</v>
      </c>
      <c r="U392" s="6" t="n"/>
    </row>
    <row r="393">
      <c r="A393" s="2" t="inlineStr">
        <is>
          <t>SECRET GARDEN</t>
        </is>
      </c>
      <c r="B393" s="2" t="inlineStr">
        <is>
          <t>I'M WHITE LARGE RUFFLE MESH PAREO</t>
        </is>
      </c>
      <c r="C393" s="2" t="inlineStr">
        <is>
          <t>26RE30/WHT</t>
        </is>
      </c>
      <c r="D393" s="2" t="n">
        <v>5000</v>
      </c>
      <c r="E393" s="3" t="n">
        <v>50842.92</v>
      </c>
      <c r="F393" s="4" t="n">
        <v>11926</v>
      </c>
      <c r="G393" s="3">
        <f>IF(OR(E393="",F393=""),"",E393+F393)</f>
        <v/>
      </c>
      <c r="H393" s="3" t="n">
        <v>74695.01479999999</v>
      </c>
      <c r="I393" s="3" t="n">
        <v>186737.537</v>
      </c>
      <c r="J393" s="3" t="n">
        <v>169900</v>
      </c>
      <c r="K393" s="3" t="n">
        <v>78525.21008403362</v>
      </c>
      <c r="L393" s="5" t="n">
        <v>0.2006526320295362</v>
      </c>
      <c r="M393" s="3" t="n">
        <v>99941.17647058824</v>
      </c>
      <c r="N393" s="5" t="n">
        <v>0.3719413537374927</v>
      </c>
      <c r="O393" s="3" t="n">
        <v>244359</v>
      </c>
      <c r="P393" s="5" t="n">
        <v>0.7431282661985031</v>
      </c>
      <c r="Q393" s="3" t="n">
        <v>171000</v>
      </c>
      <c r="R393" s="5" t="n">
        <v>0.6329302923976609</v>
      </c>
      <c r="S393" s="3" t="n">
        <v>93.60000000000001</v>
      </c>
      <c r="T393" s="5" t="n">
        <v>0.823524179037337</v>
      </c>
      <c r="U393" s="6" t="n"/>
    </row>
    <row r="394">
      <c r="A394" s="2" t="inlineStr">
        <is>
          <t>SECRET GARDEN</t>
        </is>
      </c>
      <c r="B394" s="2" t="inlineStr">
        <is>
          <t>I'M WHITE UNDERWIRE MESH LONG DRESS</t>
        </is>
      </c>
      <c r="C394" s="2" t="inlineStr">
        <is>
          <t>26VE37/WHT</t>
        </is>
      </c>
      <c r="D394" s="2" t="n">
        <v>5000</v>
      </c>
      <c r="E394" s="3" t="n">
        <v>54048.74380952381</v>
      </c>
      <c r="F394" s="4" t="n">
        <v>11926</v>
      </c>
      <c r="G394" s="3">
        <f>IF(OR(E394="",F394=""),"",E394+F394)</f>
        <v/>
      </c>
      <c r="H394" s="3" t="n">
        <v>78509.94513333334</v>
      </c>
      <c r="I394" s="3" t="n">
        <v>196274.8628333333</v>
      </c>
      <c r="J394" s="3" t="n">
        <v>199900</v>
      </c>
      <c r="K394" s="3" t="n">
        <v>92390.75630252103</v>
      </c>
      <c r="L394" s="5" t="n">
        <v>0.2859161841526824</v>
      </c>
      <c r="M394" s="3" t="n">
        <v>117588.2352941176</v>
      </c>
      <c r="N394" s="5" t="n">
        <v>0.4389341446913932</v>
      </c>
      <c r="O394" s="3" t="n">
        <v>206347.6</v>
      </c>
      <c r="P394" s="5" t="n">
        <v>0.680273752592597</v>
      </c>
      <c r="Q394" s="3" t="n">
        <v>144400</v>
      </c>
      <c r="R394" s="5" t="n">
        <v>0.5431111924548212</v>
      </c>
      <c r="S394" s="3" t="n">
        <v>156</v>
      </c>
      <c r="T394" s="5" t="n">
        <v>0.8887065725210463</v>
      </c>
      <c r="U394" s="6" t="n"/>
    </row>
    <row r="395">
      <c r="A395" s="2" t="inlineStr">
        <is>
          <t>SECRET GARDEN</t>
        </is>
      </c>
      <c r="B395" s="2" t="inlineStr">
        <is>
          <t>I'M WHITE CARGO PANTS</t>
        </is>
      </c>
      <c r="C395" s="2" t="inlineStr">
        <is>
          <t>26PA25/WHT</t>
        </is>
      </c>
      <c r="D395" s="2" t="n">
        <v>5000</v>
      </c>
      <c r="E395" s="3" t="n">
        <v>64756.51568253968</v>
      </c>
      <c r="F395" s="4" t="n">
        <v>11926</v>
      </c>
      <c r="G395" s="3">
        <f>IF(OR(E395="",F395=""),"",E395+F395)</f>
        <v/>
      </c>
      <c r="H395" s="3" t="n">
        <v>91252.19366222223</v>
      </c>
      <c r="I395" s="3" t="n">
        <v>228130.4841555555</v>
      </c>
      <c r="J395" s="3" t="n">
        <v>189900</v>
      </c>
      <c r="K395" s="3" t="n">
        <v>87768.90756302522</v>
      </c>
      <c r="L395" s="5" t="n">
        <v>0.1263134313540886</v>
      </c>
      <c r="M395" s="3" t="n">
        <v>111705.8823529412</v>
      </c>
      <c r="N395" s="5" t="n">
        <v>0.3135319817782124</v>
      </c>
      <c r="O395" s="3" t="n">
        <v>212863.84</v>
      </c>
      <c r="P395" s="5" t="n">
        <v>0.6397579049474083</v>
      </c>
      <c r="Q395" s="3" t="n">
        <v>148960</v>
      </c>
      <c r="R395" s="5" t="n">
        <v>0.4852140461698463</v>
      </c>
      <c r="S395" s="3" t="n">
        <v>145.6</v>
      </c>
      <c r="T395" s="5" t="n">
        <v>0.8614037816611125</v>
      </c>
      <c r="U395" s="6" t="n"/>
    </row>
    <row r="396">
      <c r="A396" s="2" t="inlineStr">
        <is>
          <t>SECRET GARDEN</t>
        </is>
      </c>
      <c r="B396" s="2" t="inlineStr">
        <is>
          <t>PANNA COTTA LONG SKIRT</t>
        </is>
      </c>
      <c r="C396" s="2" t="inlineStr">
        <is>
          <t>26FA24/PNCT</t>
        </is>
      </c>
      <c r="D396" s="2" t="n">
        <v>5000</v>
      </c>
      <c r="E396" s="3" t="n">
        <v>43090.69215555555</v>
      </c>
      <c r="F396" s="4" t="n">
        <v>11926</v>
      </c>
      <c r="G396" s="3">
        <f>IF(OR(E396="",F396=""),"",E396+F396)</f>
        <v/>
      </c>
      <c r="H396" s="3" t="n">
        <v>65469.86366511111</v>
      </c>
      <c r="I396" s="3" t="n">
        <v>163674.6591627778</v>
      </c>
      <c r="J396" s="3" t="n">
        <v>159900</v>
      </c>
      <c r="K396" s="3" t="n">
        <v>73903.36134453783</v>
      </c>
      <c r="L396" s="5" t="n">
        <v>0.2555590009083962</v>
      </c>
      <c r="M396" s="3" t="n">
        <v>94058.82352941176</v>
      </c>
      <c r="N396" s="5" t="n">
        <v>0.4150820721423112</v>
      </c>
      <c r="O396" s="3" t="n">
        <v>182454.72</v>
      </c>
      <c r="P396" s="5" t="n">
        <v>0.6984638591122467</v>
      </c>
      <c r="Q396" s="3" t="n">
        <v>127680</v>
      </c>
      <c r="R396" s="5" t="n">
        <v>0.5691048546714007</v>
      </c>
      <c r="S396" s="3" t="n">
        <v>124.8</v>
      </c>
      <c r="T396" s="5" t="n">
        <v>0.8839897685653771</v>
      </c>
      <c r="U396" s="6" t="n"/>
    </row>
    <row r="397">
      <c r="A397" s="2" t="inlineStr">
        <is>
          <t>SECRET GARDEN</t>
        </is>
      </c>
      <c r="B397" s="2" t="inlineStr">
        <is>
          <t>I'M WHITE MACRAME KNIT LONG SKIRT</t>
        </is>
      </c>
      <c r="C397" s="2" t="inlineStr">
        <is>
          <t>26FA27/WHT</t>
        </is>
      </c>
      <c r="D397" s="2" t="n">
        <v>5000</v>
      </c>
      <c r="E397" s="3" t="n">
        <v>41897.81</v>
      </c>
      <c r="F397" s="4" t="n">
        <v>11926</v>
      </c>
      <c r="G397" s="3">
        <f>IF(OR(E397="",F397=""),"",E397+F397)</f>
        <v/>
      </c>
      <c r="H397" s="3" t="n">
        <v>64050.3339</v>
      </c>
      <c r="I397" s="3" t="n">
        <v>160125.83475</v>
      </c>
      <c r="J397" s="3" t="n">
        <v>159900</v>
      </c>
      <c r="K397" s="3" t="n">
        <v>73903.36134453783</v>
      </c>
      <c r="L397" s="5" t="n">
        <v>0.2717001091591337</v>
      </c>
      <c r="M397" s="3" t="n">
        <v>94058.82352941176</v>
      </c>
      <c r="N397" s="5" t="n">
        <v>0.4277643714821764</v>
      </c>
      <c r="O397" s="3" t="n">
        <v>190057</v>
      </c>
      <c r="P397" s="5" t="n">
        <v>0.7168017489489995</v>
      </c>
      <c r="Q397" s="3" t="n">
        <v>133000</v>
      </c>
      <c r="R397" s="5" t="n">
        <v>0.5953096992481203</v>
      </c>
      <c r="S397" s="3" t="n">
        <v>130</v>
      </c>
      <c r="T397" s="5" t="n">
        <v>0.89104491902834</v>
      </c>
      <c r="U397" s="6" t="n"/>
    </row>
    <row r="398">
      <c r="A398" s="2" t="inlineStr">
        <is>
          <t>SECRET GARDEN</t>
        </is>
      </c>
      <c r="B398" s="2" t="inlineStr">
        <is>
          <t>I'M WHITE STRAIGHT ONE PIECE</t>
        </is>
      </c>
      <c r="C398" s="2" t="inlineStr">
        <is>
          <t>263370/WHT</t>
        </is>
      </c>
      <c r="D398" s="2" t="n">
        <v>5000</v>
      </c>
      <c r="E398" s="3" t="n">
        <v>42873.6112</v>
      </c>
      <c r="F398" s="4" t="n">
        <v>11926</v>
      </c>
      <c r="G398" s="3">
        <f>IF(OR(E398="",F398=""),"",E398+F398)</f>
        <v/>
      </c>
      <c r="H398" s="3" t="n">
        <v>65211.537328</v>
      </c>
      <c r="I398" s="3" t="n">
        <v>163028.84332</v>
      </c>
      <c r="J398" s="3" t="n">
        <v>169900</v>
      </c>
      <c r="K398" s="3" t="n">
        <v>78525.21008403362</v>
      </c>
      <c r="L398" s="5" t="n">
        <v>0.3021398969661299</v>
      </c>
      <c r="M398" s="3" t="n">
        <v>99941.17647058824</v>
      </c>
      <c r="N398" s="5" t="n">
        <v>0.4516813476162448</v>
      </c>
      <c r="O398" s="3" t="n">
        <v>182454.72</v>
      </c>
      <c r="P398" s="5" t="n">
        <v>0.6996536389960204</v>
      </c>
      <c r="Q398" s="3" t="n">
        <v>127680</v>
      </c>
      <c r="R398" s="5" t="n">
        <v>0.5708050501253132</v>
      </c>
      <c r="S398" s="3" t="n">
        <v>124.8</v>
      </c>
      <c r="T398" s="5" t="n">
        <v>0.8844475134952767</v>
      </c>
      <c r="U398" s="6" t="n"/>
    </row>
    <row r="399">
      <c r="A399" s="2" t="inlineStr">
        <is>
          <t>SECRET GARDEN</t>
        </is>
      </c>
      <c r="B399" s="2" t="inlineStr">
        <is>
          <t>I'M WHITE MESH DRESS</t>
        </is>
      </c>
      <c r="C399" s="2" t="inlineStr">
        <is>
          <t>26VE32/WHT</t>
        </is>
      </c>
      <c r="D399" s="2" t="n">
        <v>5000</v>
      </c>
      <c r="E399" s="3" t="n">
        <v>51220.07279693485</v>
      </c>
      <c r="F399" s="4" t="n">
        <v>11926</v>
      </c>
      <c r="G399" s="3">
        <f>IF(OR(E399="",F399=""),"",E399+F399)</f>
        <v/>
      </c>
      <c r="H399" s="3" t="n">
        <v>75143.82662835247</v>
      </c>
      <c r="I399" s="3" t="n">
        <v>187859.5665708811</v>
      </c>
      <c r="J399" s="3" t="n">
        <v>179900</v>
      </c>
      <c r="K399" s="3" t="n">
        <v>83147.05882352943</v>
      </c>
      <c r="L399" s="5" t="n">
        <v>0.2405495312713886</v>
      </c>
      <c r="M399" s="3" t="n">
        <v>105823.5294117647</v>
      </c>
      <c r="N399" s="5" t="n">
        <v>0.4032889174275194</v>
      </c>
      <c r="O399" s="3" t="n">
        <v>190057</v>
      </c>
      <c r="P399" s="5" t="n">
        <v>0.6677519228603269</v>
      </c>
      <c r="Q399" s="3" t="n">
        <v>133000</v>
      </c>
      <c r="R399" s="5" t="n">
        <v>0.5252174977674071</v>
      </c>
      <c r="S399" s="3" t="n">
        <v>130</v>
      </c>
      <c r="T399" s="5" t="n">
        <v>0.8721739417066096</v>
      </c>
      <c r="U399" s="6" t="n"/>
    </row>
    <row r="400">
      <c r="A400" s="2" t="inlineStr">
        <is>
          <t>SECRET GARDEN</t>
        </is>
      </c>
      <c r="B400" s="2" t="inlineStr">
        <is>
          <t>I'M WHITE HALF SLEEVED BODY</t>
        </is>
      </c>
      <c r="C400" s="2" t="inlineStr">
        <is>
          <t>265024/WHT</t>
        </is>
      </c>
      <c r="D400" s="2" t="n">
        <v>5000</v>
      </c>
      <c r="E400" s="3" t="n">
        <v>45419.34876811595</v>
      </c>
      <c r="F400" s="4" t="n">
        <v>11926</v>
      </c>
      <c r="G400" s="3">
        <f>IF(OR(E400="",F400=""),"",E400+F400)</f>
        <v/>
      </c>
      <c r="H400" s="3" t="n">
        <v>68240.96503405797</v>
      </c>
      <c r="I400" s="3" t="n">
        <v>170602.4125851449</v>
      </c>
      <c r="J400" s="3" t="n">
        <v>169900</v>
      </c>
      <c r="K400" s="3" t="n">
        <v>78525.21008403362</v>
      </c>
      <c r="L400" s="5" t="n">
        <v>0.2697205304290441</v>
      </c>
      <c r="M400" s="3" t="n">
        <v>99941.17647058824</v>
      </c>
      <c r="N400" s="5" t="n">
        <v>0.426208988194249</v>
      </c>
      <c r="O400" s="3" t="n">
        <v>182454.72</v>
      </c>
      <c r="P400" s="5" t="n">
        <v>0.6857009302466061</v>
      </c>
      <c r="Q400" s="3" t="n">
        <v>127680</v>
      </c>
      <c r="R400" s="5" t="n">
        <v>0.5508666293224002</v>
      </c>
      <c r="S400" s="3" t="n">
        <v>124.8</v>
      </c>
      <c r="T400" s="5" t="n">
        <v>0.8790794771252617</v>
      </c>
      <c r="U400" s="6" t="n"/>
    </row>
    <row r="401">
      <c r="A401" s="2" t="inlineStr">
        <is>
          <t>SECRET GARDEN</t>
        </is>
      </c>
      <c r="B401" s="2" t="inlineStr">
        <is>
          <t>I'M WHITE HALF SLEEVED CLIP BODY</t>
        </is>
      </c>
      <c r="C401" s="2" t="inlineStr">
        <is>
          <t>265025/WHT</t>
        </is>
      </c>
      <c r="D401" s="2" t="n">
        <v>5000</v>
      </c>
      <c r="E401" s="3" t="n">
        <v>45419.34876811595</v>
      </c>
      <c r="F401" s="4" t="n">
        <v>11926</v>
      </c>
      <c r="G401" s="3">
        <f>IF(OR(E401="",F401=""),"",E401+F401)</f>
        <v/>
      </c>
      <c r="H401" s="3" t="n">
        <v>68240.96503405797</v>
      </c>
      <c r="I401" s="3" t="n">
        <v>170602.4125851449</v>
      </c>
      <c r="J401" s="3" t="n">
        <v>169900</v>
      </c>
      <c r="K401" s="3" t="n">
        <v>78525.21008403362</v>
      </c>
      <c r="L401" s="5" t="n">
        <v>0.2697205304290441</v>
      </c>
      <c r="M401" s="3" t="n">
        <v>99941.17647058824</v>
      </c>
      <c r="N401" s="5" t="n">
        <v>0.426208988194249</v>
      </c>
      <c r="O401" s="3" t="n">
        <v>182454.72</v>
      </c>
      <c r="P401" s="5" t="n">
        <v>0.6857009302466061</v>
      </c>
      <c r="Q401" s="3" t="n">
        <v>127680</v>
      </c>
      <c r="R401" s="5" t="n">
        <v>0.5508666293224002</v>
      </c>
      <c r="S401" s="3" t="n">
        <v>124.8</v>
      </c>
      <c r="T401" s="5" t="n">
        <v>0.8790794771252617</v>
      </c>
      <c r="U401" s="6" t="n"/>
    </row>
    <row r="402">
      <c r="A402" s="2" t="inlineStr">
        <is>
          <t>SECRET GARDEN</t>
        </is>
      </c>
      <c r="B402" s="2" t="inlineStr">
        <is>
          <t>I'M WHITE MESH TRIANGLE TOP</t>
        </is>
      </c>
      <c r="C402" s="2" t="inlineStr">
        <is>
          <t>213174/WHT</t>
        </is>
      </c>
      <c r="D402" s="2" t="n">
        <v>5000</v>
      </c>
      <c r="E402" s="3" t="n">
        <v>26322.15666666667</v>
      </c>
      <c r="F402" s="4" t="n">
        <v>11926</v>
      </c>
      <c r="G402" s="3">
        <f>IF(OR(E402="",F402=""),"",E402+F402)</f>
        <v/>
      </c>
      <c r="H402" s="3" t="n">
        <v>45515.30643333332</v>
      </c>
      <c r="I402" s="3" t="n">
        <v>113788.2660833333</v>
      </c>
      <c r="J402" s="3" t="n">
        <v>109900</v>
      </c>
      <c r="K402" s="3" t="n">
        <v>50794.11764705883</v>
      </c>
      <c r="L402" s="5" t="n">
        <v>0.2469963366145533</v>
      </c>
      <c r="M402" s="3" t="n">
        <v>64647.05882352941</v>
      </c>
      <c r="N402" s="5" t="n">
        <v>0.4083542644828632</v>
      </c>
      <c r="O402" s="3" t="n">
        <v>121636.48</v>
      </c>
      <c r="P402" s="5" t="n">
        <v>0.6855535718670365</v>
      </c>
      <c r="Q402" s="3" t="n">
        <v>85120</v>
      </c>
      <c r="R402" s="5" t="n">
        <v>0.550656054197995</v>
      </c>
      <c r="S402" s="3" t="n">
        <v>83.2</v>
      </c>
      <c r="T402" s="5" t="n">
        <v>0.8790227838225371</v>
      </c>
      <c r="U402" s="6" t="n"/>
    </row>
    <row r="403">
      <c r="A403" s="2" t="inlineStr">
        <is>
          <t>SECRET GARDEN</t>
        </is>
      </c>
      <c r="B403" s="2" t="inlineStr">
        <is>
          <t>I'M WHITE MESH STRAP TIE SIDE BOTTOM</t>
        </is>
      </c>
      <c r="C403" s="2" t="inlineStr">
        <is>
          <t>213243/WHT</t>
        </is>
      </c>
      <c r="D403" s="2" t="n">
        <v>5000</v>
      </c>
      <c r="E403" s="3" t="n">
        <v>21787.91555555556</v>
      </c>
      <c r="F403" s="4" t="n">
        <v>11926</v>
      </c>
      <c r="G403" s="3">
        <f>IF(OR(E403="",F403=""),"",E403+F403)</f>
        <v/>
      </c>
      <c r="H403" s="3" t="n">
        <v>40119.55951111111</v>
      </c>
      <c r="I403" s="3" t="n">
        <v>100298.8987777778</v>
      </c>
      <c r="J403" s="3" t="n">
        <v>119900</v>
      </c>
      <c r="K403" s="3" t="n">
        <v>55415.96638655462</v>
      </c>
      <c r="L403" s="5" t="n">
        <v>0.3916209036149654</v>
      </c>
      <c r="M403" s="3" t="n">
        <v>70529.41176470587</v>
      </c>
      <c r="N403" s="5" t="n">
        <v>0.5219878528403299</v>
      </c>
      <c r="O403" s="3" t="n">
        <v>106431.92</v>
      </c>
      <c r="P403" s="5" t="n">
        <v>0.6832349209188789</v>
      </c>
      <c r="Q403" s="3" t="n">
        <v>74479.99999999999</v>
      </c>
      <c r="R403" s="5" t="n">
        <v>0.5473427019930779</v>
      </c>
      <c r="S403" s="3" t="n">
        <v>72.8</v>
      </c>
      <c r="T403" s="5" t="n">
        <v>0.8781307274596749</v>
      </c>
      <c r="U403" s="6" t="n"/>
    </row>
    <row r="404">
      <c r="A404" s="2" t="inlineStr">
        <is>
          <t>SECRET GARDEN</t>
        </is>
      </c>
      <c r="B404" s="2" t="inlineStr">
        <is>
          <t>I'M WHITE SHIRT</t>
        </is>
      </c>
      <c r="C404" s="2" t="inlineStr">
        <is>
          <t>26CA21/WHT</t>
        </is>
      </c>
      <c r="D404" s="2" t="n">
        <v>5000</v>
      </c>
      <c r="E404" s="3" t="n">
        <v>47099.20661111111</v>
      </c>
      <c r="F404" s="4" t="n">
        <v>11926</v>
      </c>
      <c r="G404" s="3">
        <f>IF(OR(E404="",F404=""),"",E404+F404)</f>
        <v/>
      </c>
      <c r="H404" s="3" t="n">
        <v>70239.99586722223</v>
      </c>
      <c r="I404" s="3" t="n">
        <v>175599.9896680555</v>
      </c>
      <c r="J404" s="3" t="n">
        <v>169900</v>
      </c>
      <c r="K404" s="3" t="n">
        <v>78525.21008403362</v>
      </c>
      <c r="L404" s="5" t="n">
        <v>0.2483279376400854</v>
      </c>
      <c r="M404" s="3" t="n">
        <v>99941.17647058824</v>
      </c>
      <c r="N404" s="5" t="n">
        <v>0.4094005224314957</v>
      </c>
      <c r="O404" s="3" t="n">
        <v>190057</v>
      </c>
      <c r="P404" s="5" t="n">
        <v>0.6894341875799833</v>
      </c>
      <c r="Q404" s="3" t="n">
        <v>133000</v>
      </c>
      <c r="R404" s="5" t="n">
        <v>0.5562014540517961</v>
      </c>
      <c r="S404" s="3" t="n">
        <v>130</v>
      </c>
      <c r="T404" s="5" t="n">
        <v>0.8805157760908682</v>
      </c>
      <c r="U404" s="6" t="n"/>
    </row>
    <row r="405">
      <c r="A405" s="2" t="inlineStr">
        <is>
          <t>SECRET GARDEN</t>
        </is>
      </c>
      <c r="B405" s="2" t="inlineStr">
        <is>
          <t>I'M WHITE WRAP SKORT</t>
        </is>
      </c>
      <c r="C405" s="2" t="inlineStr">
        <is>
          <t>26FA25/WHT</t>
        </is>
      </c>
      <c r="D405" s="2" t="n">
        <v>5000</v>
      </c>
      <c r="E405" s="3" t="n">
        <v>36274.27155172414</v>
      </c>
      <c r="F405" s="4" t="n">
        <v>11926</v>
      </c>
      <c r="G405" s="3">
        <f>IF(OR(E405="",F405=""),"",E405+F405)</f>
        <v/>
      </c>
      <c r="H405" s="3" t="n">
        <v>57358.32314655172</v>
      </c>
      <c r="I405" s="3" t="n">
        <v>143395.8078663793</v>
      </c>
      <c r="J405" s="3" t="n">
        <v>139900</v>
      </c>
      <c r="K405" s="3" t="n">
        <v>64659.66386554623</v>
      </c>
      <c r="L405" s="5" t="n">
        <v>0.2545542511332547</v>
      </c>
      <c r="M405" s="3" t="n">
        <v>82294.11764705883</v>
      </c>
      <c r="N405" s="5" t="n">
        <v>0.4142926258904143</v>
      </c>
      <c r="O405" s="3" t="n">
        <v>182454.72</v>
      </c>
      <c r="P405" s="5" t="n">
        <v>0.7358233782511948</v>
      </c>
      <c r="Q405" s="3" t="n">
        <v>127680</v>
      </c>
      <c r="R405" s="5" t="n">
        <v>0.6224916075209576</v>
      </c>
      <c r="S405" s="3" t="n">
        <v>124.8</v>
      </c>
      <c r="T405" s="5" t="n">
        <v>0.8983631251017963</v>
      </c>
      <c r="U405" s="6" t="n"/>
    </row>
    <row r="406">
      <c r="A406" s="2" t="inlineStr">
        <is>
          <t>SECRET GARDEN</t>
        </is>
      </c>
      <c r="B406" s="2" t="inlineStr">
        <is>
          <t>I'M BLACK UNDERWIRE BRALETTE TOP</t>
        </is>
      </c>
      <c r="C406" s="2" t="inlineStr">
        <is>
          <t>263149/BLA</t>
        </is>
      </c>
      <c r="D406" s="2" t="n">
        <v>5000</v>
      </c>
      <c r="E406" s="3" t="n">
        <v>26296.09825</v>
      </c>
      <c r="F406" s="4" t="n">
        <v>11926</v>
      </c>
      <c r="G406" s="3">
        <f>IF(OR(E406="",F406=""),"",E406+F406)</f>
        <v/>
      </c>
      <c r="H406" s="3" t="n">
        <v>45484.29691749999</v>
      </c>
      <c r="I406" s="3" t="n">
        <v>113710.74229375</v>
      </c>
      <c r="J406" s="3" t="n">
        <v>119900</v>
      </c>
      <c r="K406" s="3" t="n">
        <v>55415.96638655462</v>
      </c>
      <c r="L406" s="5" t="n">
        <v>0.3102692104405188</v>
      </c>
      <c r="M406" s="3" t="n">
        <v>70529.41176470587</v>
      </c>
      <c r="N406" s="5" t="n">
        <v>0.4580686653461218</v>
      </c>
      <c r="O406" s="3" t="n">
        <v>144443.32</v>
      </c>
      <c r="P406" s="5" t="n">
        <v>0.7353834137154975</v>
      </c>
      <c r="Q406" s="3" t="n">
        <v>101080</v>
      </c>
      <c r="R406" s="5" t="n">
        <v>0.621862898199446</v>
      </c>
      <c r="S406" s="3" t="n">
        <v>98.8</v>
      </c>
      <c r="T406" s="5" t="n">
        <v>0.8981938572075432</v>
      </c>
      <c r="U406" s="6" t="n"/>
    </row>
    <row r="407">
      <c r="A407" s="2" t="inlineStr">
        <is>
          <t>SECRET GARDEN</t>
        </is>
      </c>
      <c r="B407" s="2" t="inlineStr">
        <is>
          <t>I'M BLACK HIGH WAIST BOTTOM</t>
        </is>
      </c>
      <c r="C407" s="2" t="inlineStr">
        <is>
          <t>263223/BLA</t>
        </is>
      </c>
      <c r="D407" s="2" t="n">
        <v>5000</v>
      </c>
      <c r="E407" s="3" t="n">
        <v>23375.658</v>
      </c>
      <c r="F407" s="4" t="n">
        <v>11926</v>
      </c>
      <c r="G407" s="3">
        <f>IF(OR(E407="",F407=""),"",E407+F407)</f>
        <v/>
      </c>
      <c r="H407" s="3" t="n">
        <v>42008.97301999999</v>
      </c>
      <c r="I407" s="3" t="n">
        <v>105022.43255</v>
      </c>
      <c r="J407" s="3" t="n">
        <v>109900</v>
      </c>
      <c r="K407" s="3" t="n">
        <v>50794.11764705883</v>
      </c>
      <c r="L407" s="5" t="n">
        <v>0.3050049959467285</v>
      </c>
      <c r="M407" s="3" t="n">
        <v>64647.05882352941</v>
      </c>
      <c r="N407" s="5" t="n">
        <v>0.4539324968152866</v>
      </c>
      <c r="O407" s="3" t="n">
        <v>114034.2</v>
      </c>
      <c r="P407" s="5" t="n">
        <v>0.6904292045719618</v>
      </c>
      <c r="Q407" s="3" t="n">
        <v>79800</v>
      </c>
      <c r="R407" s="5" t="n">
        <v>0.5576233333333334</v>
      </c>
      <c r="S407" s="3" t="n">
        <v>78</v>
      </c>
      <c r="T407" s="5" t="n">
        <v>0.8808985897435898</v>
      </c>
      <c r="U407" s="6" t="n"/>
    </row>
    <row r="408">
      <c r="A408" s="2" t="inlineStr">
        <is>
          <t>SECRET GARDEN</t>
        </is>
      </c>
      <c r="B408" s="2" t="inlineStr">
        <is>
          <t>I'M BLACK STRAIGHT ONE PIECE</t>
        </is>
      </c>
      <c r="C408" s="2" t="inlineStr">
        <is>
          <t>263370/BLA</t>
        </is>
      </c>
      <c r="D408" s="2" t="n">
        <v>5000</v>
      </c>
      <c r="E408" s="3" t="n">
        <v>42873.6112</v>
      </c>
      <c r="F408" s="4" t="n">
        <v>11926</v>
      </c>
      <c r="G408" s="3">
        <f>IF(OR(E408="",F408=""),"",E408+F408)</f>
        <v/>
      </c>
      <c r="H408" s="3" t="n">
        <v>65211.537328</v>
      </c>
      <c r="I408" s="3" t="n">
        <v>163028.84332</v>
      </c>
      <c r="J408" s="3" t="n">
        <v>169900</v>
      </c>
      <c r="K408" s="3" t="n">
        <v>78525.21008403362</v>
      </c>
      <c r="L408" s="5" t="n">
        <v>0.3021398969661299</v>
      </c>
      <c r="M408" s="3" t="n">
        <v>99941.17647058824</v>
      </c>
      <c r="N408" s="5" t="n">
        <v>0.4516813476162448</v>
      </c>
      <c r="O408" s="3" t="n">
        <v>182454.72</v>
      </c>
      <c r="P408" s="5" t="n">
        <v>0.6996536389960204</v>
      </c>
      <c r="Q408" s="3" t="n">
        <v>127680</v>
      </c>
      <c r="R408" s="5" t="n">
        <v>0.5708050501253132</v>
      </c>
      <c r="S408" s="3" t="n">
        <v>124.8</v>
      </c>
      <c r="T408" s="5" t="n">
        <v>0.8844475134952767</v>
      </c>
      <c r="U408" s="6" t="n"/>
    </row>
    <row r="409">
      <c r="A409" s="2" t="inlineStr">
        <is>
          <t>SECRET GARDEN</t>
        </is>
      </c>
      <c r="B409" s="2" t="inlineStr">
        <is>
          <t>I'M BLACK HALF SLEEVED BODY</t>
        </is>
      </c>
      <c r="C409" s="2" t="inlineStr">
        <is>
          <t>265024/BLA</t>
        </is>
      </c>
      <c r="D409" s="2" t="n">
        <v>5000</v>
      </c>
      <c r="E409" s="3" t="n">
        <v>45419.34876811595</v>
      </c>
      <c r="F409" s="4" t="n">
        <v>11926</v>
      </c>
      <c r="G409" s="3">
        <f>IF(OR(E409="",F409=""),"",E409+F409)</f>
        <v/>
      </c>
      <c r="H409" s="3" t="n">
        <v>68240.96503405797</v>
      </c>
      <c r="I409" s="3" t="n">
        <v>170602.4125851449</v>
      </c>
      <c r="J409" s="3" t="n">
        <v>169900</v>
      </c>
      <c r="K409" s="3" t="n">
        <v>78525.21008403362</v>
      </c>
      <c r="L409" s="5" t="n">
        <v>0.2697205304290441</v>
      </c>
      <c r="M409" s="3" t="n">
        <v>99941.17647058824</v>
      </c>
      <c r="N409" s="5" t="n">
        <v>0.426208988194249</v>
      </c>
      <c r="O409" s="3" t="n">
        <v>182454.72</v>
      </c>
      <c r="P409" s="5" t="n">
        <v>0.6857009302466061</v>
      </c>
      <c r="Q409" s="3" t="n">
        <v>127680</v>
      </c>
      <c r="R409" s="5" t="n">
        <v>0.5508666293224002</v>
      </c>
      <c r="S409" s="3" t="n">
        <v>124.8</v>
      </c>
      <c r="T409" s="5" t="n">
        <v>0.8790794771252617</v>
      </c>
      <c r="U409" s="6" t="n"/>
    </row>
    <row r="410">
      <c r="A410" s="2" t="inlineStr">
        <is>
          <t>SECRET GARDEN</t>
        </is>
      </c>
      <c r="B410" s="2" t="inlineStr">
        <is>
          <t>I'M BLACK HALF SLEEVED CLIP BODY</t>
        </is>
      </c>
      <c r="C410" s="2" t="inlineStr">
        <is>
          <t>265025/BLA</t>
        </is>
      </c>
      <c r="D410" s="2" t="n">
        <v>5000</v>
      </c>
      <c r="E410" s="3" t="n">
        <v>45419.34876811595</v>
      </c>
      <c r="F410" s="4" t="n">
        <v>11926</v>
      </c>
      <c r="G410" s="3">
        <f>IF(OR(E410="",F410=""),"",E410+F410)</f>
        <v/>
      </c>
      <c r="H410" s="3" t="n">
        <v>68240.96503405797</v>
      </c>
      <c r="I410" s="3" t="n">
        <v>170602.4125851449</v>
      </c>
      <c r="J410" s="3" t="n">
        <v>169900</v>
      </c>
      <c r="K410" s="3" t="n">
        <v>78525.21008403362</v>
      </c>
      <c r="L410" s="5" t="n">
        <v>0.2697205304290441</v>
      </c>
      <c r="M410" s="3" t="n">
        <v>99941.17647058824</v>
      </c>
      <c r="N410" s="5" t="n">
        <v>0.426208988194249</v>
      </c>
      <c r="O410" s="3" t="n">
        <v>182454.72</v>
      </c>
      <c r="P410" s="5" t="n">
        <v>0.6857009302466061</v>
      </c>
      <c r="Q410" s="3" t="n">
        <v>127680</v>
      </c>
      <c r="R410" s="5" t="n">
        <v>0.5508666293224002</v>
      </c>
      <c r="S410" s="3" t="n">
        <v>124.8</v>
      </c>
      <c r="T410" s="5" t="n">
        <v>0.8790794771252617</v>
      </c>
      <c r="U410" s="6" t="n"/>
    </row>
    <row r="411">
      <c r="A411" s="2" t="inlineStr">
        <is>
          <t>SECRET GARDEN</t>
        </is>
      </c>
      <c r="B411" s="2" t="inlineStr">
        <is>
          <t>I'M BLACK MESH DRESS</t>
        </is>
      </c>
      <c r="C411" s="2" t="inlineStr">
        <is>
          <t>26VE32/BLA</t>
        </is>
      </c>
      <c r="D411" s="2" t="n">
        <v>5000</v>
      </c>
      <c r="E411" s="3" t="n">
        <v>51220.07279693485</v>
      </c>
      <c r="F411" s="4" t="n">
        <v>11926</v>
      </c>
      <c r="G411" s="3">
        <f>IF(OR(E411="",F411=""),"",E411+F411)</f>
        <v/>
      </c>
      <c r="H411" s="3" t="n">
        <v>75143.82662835247</v>
      </c>
      <c r="I411" s="3" t="n">
        <v>187859.5665708811</v>
      </c>
      <c r="J411" s="3" t="n">
        <v>179900</v>
      </c>
      <c r="K411" s="3" t="n">
        <v>83147.05882352943</v>
      </c>
      <c r="L411" s="5" t="n">
        <v>0.2405495312713886</v>
      </c>
      <c r="M411" s="3" t="n">
        <v>105823.5294117647</v>
      </c>
      <c r="N411" s="5" t="n">
        <v>0.4032889174275194</v>
      </c>
      <c r="O411" s="3" t="n">
        <v>190057</v>
      </c>
      <c r="P411" s="5" t="n">
        <v>0.6677519228603269</v>
      </c>
      <c r="Q411" s="3" t="n">
        <v>133000</v>
      </c>
      <c r="R411" s="5" t="n">
        <v>0.5252174977674071</v>
      </c>
      <c r="S411" s="3" t="n">
        <v>130</v>
      </c>
      <c r="T411" s="5" t="n">
        <v>0.8721739417066096</v>
      </c>
      <c r="U411" s="6" t="n"/>
    </row>
    <row r="412">
      <c r="A412" s="2" t="inlineStr">
        <is>
          <t>SECRET GARDEN</t>
        </is>
      </c>
      <c r="B412" s="2" t="inlineStr">
        <is>
          <t>I'M BLACK CARGO PANTS</t>
        </is>
      </c>
      <c r="C412" s="2" t="inlineStr">
        <is>
          <t>26PA25/BLA</t>
        </is>
      </c>
      <c r="D412" s="2" t="n">
        <v>5000</v>
      </c>
      <c r="E412" s="3" t="n">
        <v>64756.51568253968</v>
      </c>
      <c r="F412" s="4" t="n">
        <v>11926</v>
      </c>
      <c r="G412" s="3">
        <f>IF(OR(E412="",F412=""),"",E412+F412)</f>
        <v/>
      </c>
      <c r="H412" s="3" t="n">
        <v>91252.19366222223</v>
      </c>
      <c r="I412" s="3" t="n">
        <v>228130.4841555555</v>
      </c>
      <c r="J412" s="3" t="n">
        <v>189900</v>
      </c>
      <c r="K412" s="3" t="n">
        <v>87768.90756302522</v>
      </c>
      <c r="L412" s="5" t="n">
        <v>0.1263134313540886</v>
      </c>
      <c r="M412" s="3" t="n">
        <v>111705.8823529412</v>
      </c>
      <c r="N412" s="5" t="n">
        <v>0.3135319817782124</v>
      </c>
      <c r="O412" s="3" t="n">
        <v>212863.84</v>
      </c>
      <c r="P412" s="5" t="n">
        <v>0.6397579049474083</v>
      </c>
      <c r="Q412" s="3" t="n">
        <v>148960</v>
      </c>
      <c r="R412" s="5" t="n">
        <v>0.4852140461698463</v>
      </c>
      <c r="S412" s="3" t="n">
        <v>145.6</v>
      </c>
      <c r="T412" s="5" t="n">
        <v>0.8614037816611125</v>
      </c>
      <c r="U412" s="6" t="n"/>
    </row>
    <row r="413">
      <c r="A413" s="2" t="inlineStr">
        <is>
          <t>SECRET GARDEN</t>
        </is>
      </c>
      <c r="B413" s="2" t="inlineStr">
        <is>
          <t>I'M BLACK MESH TRIANGLE TOP</t>
        </is>
      </c>
      <c r="C413" s="2" t="inlineStr">
        <is>
          <t>213174/BLA</t>
        </is>
      </c>
      <c r="D413" s="2" t="n">
        <v>5000</v>
      </c>
      <c r="E413" s="3" t="n">
        <v>26322.15666666667</v>
      </c>
      <c r="F413" s="4" t="n">
        <v>11926</v>
      </c>
      <c r="G413" s="3">
        <f>IF(OR(E413="",F413=""),"",E413+F413)</f>
        <v/>
      </c>
      <c r="H413" s="3" t="n">
        <v>45515.30643333332</v>
      </c>
      <c r="I413" s="3" t="n">
        <v>113788.2660833333</v>
      </c>
      <c r="J413" s="3" t="n">
        <v>109900</v>
      </c>
      <c r="K413" s="3" t="n">
        <v>50794.11764705883</v>
      </c>
      <c r="L413" s="5" t="n">
        <v>0.2469963366145533</v>
      </c>
      <c r="M413" s="3" t="n">
        <v>64647.05882352941</v>
      </c>
      <c r="N413" s="5" t="n">
        <v>0.4083542644828632</v>
      </c>
      <c r="O413" s="3" t="n">
        <v>121636.48</v>
      </c>
      <c r="P413" s="5" t="n">
        <v>0.6855535718670365</v>
      </c>
      <c r="Q413" s="3" t="n">
        <v>85120</v>
      </c>
      <c r="R413" s="5" t="n">
        <v>0.550656054197995</v>
      </c>
      <c r="S413" s="3" t="n">
        <v>83.2</v>
      </c>
      <c r="T413" s="5" t="n">
        <v>0.8790227838225371</v>
      </c>
      <c r="U413" s="6" t="n"/>
    </row>
    <row r="414">
      <c r="A414" s="2" t="inlineStr">
        <is>
          <t>SECRET GARDEN</t>
        </is>
      </c>
      <c r="B414" s="2" t="inlineStr">
        <is>
          <t>I'M BLACK MESH STRAP TIE SIDE BOTTOM</t>
        </is>
      </c>
      <c r="C414" s="2" t="inlineStr">
        <is>
          <t>213243/BLA</t>
        </is>
      </c>
      <c r="D414" s="2" t="n">
        <v>5000</v>
      </c>
      <c r="E414" s="3" t="n">
        <v>21787.91555555556</v>
      </c>
      <c r="F414" s="4" t="n">
        <v>11926</v>
      </c>
      <c r="G414" s="3">
        <f>IF(OR(E414="",F414=""),"",E414+F414)</f>
        <v/>
      </c>
      <c r="H414" s="3" t="n">
        <v>40119.55951111111</v>
      </c>
      <c r="I414" s="3" t="n">
        <v>100298.8987777778</v>
      </c>
      <c r="J414" s="3" t="n">
        <v>119900</v>
      </c>
      <c r="K414" s="3" t="n">
        <v>55415.96638655462</v>
      </c>
      <c r="L414" s="5" t="n">
        <v>0.3916209036149654</v>
      </c>
      <c r="M414" s="3" t="n">
        <v>70529.41176470587</v>
      </c>
      <c r="N414" s="5" t="n">
        <v>0.5219878528403299</v>
      </c>
      <c r="O414" s="3" t="n">
        <v>106431.92</v>
      </c>
      <c r="P414" s="5" t="n">
        <v>0.6832349209188789</v>
      </c>
      <c r="Q414" s="3" t="n">
        <v>74479.99999999999</v>
      </c>
      <c r="R414" s="5" t="n">
        <v>0.5473427019930779</v>
      </c>
      <c r="S414" s="3" t="n">
        <v>72.8</v>
      </c>
      <c r="T414" s="5" t="n">
        <v>0.8781307274596749</v>
      </c>
      <c r="U414" s="6" t="n"/>
    </row>
    <row r="415">
      <c r="A415" s="2" t="inlineStr">
        <is>
          <t>SECRET GARDEN</t>
        </is>
      </c>
      <c r="B415" s="2" t="inlineStr">
        <is>
          <t>I'M BLACK LONG SKIRT</t>
        </is>
      </c>
      <c r="C415" s="2" t="inlineStr">
        <is>
          <t>26FA24/BLA</t>
        </is>
      </c>
      <c r="D415" s="2" t="n">
        <v>5000</v>
      </c>
      <c r="E415" s="3" t="n">
        <v>43090.69215555555</v>
      </c>
      <c r="F415" s="4" t="n">
        <v>11926</v>
      </c>
      <c r="G415" s="3">
        <f>IF(OR(E415="",F415=""),"",E415+F415)</f>
        <v/>
      </c>
      <c r="H415" s="3" t="n">
        <v>65469.86366511111</v>
      </c>
      <c r="I415" s="3" t="n">
        <v>163674.6591627778</v>
      </c>
      <c r="J415" s="3" t="n">
        <v>159900</v>
      </c>
      <c r="K415" s="3" t="n">
        <v>73903.36134453783</v>
      </c>
      <c r="L415" s="5" t="n">
        <v>0.2555590009083962</v>
      </c>
      <c r="M415" s="3" t="n">
        <v>94058.82352941176</v>
      </c>
      <c r="N415" s="5" t="n">
        <v>0.4150820721423112</v>
      </c>
      <c r="O415" s="3" t="n">
        <v>182454.72</v>
      </c>
      <c r="P415" s="5" t="n">
        <v>0.6984638591122467</v>
      </c>
      <c r="Q415" s="3" t="n">
        <v>127680</v>
      </c>
      <c r="R415" s="5" t="n">
        <v>0.5691048546714007</v>
      </c>
      <c r="S415" s="3" t="n">
        <v>124.8</v>
      </c>
      <c r="T415" s="5" t="n">
        <v>0.8839897685653771</v>
      </c>
      <c r="U415" s="6" t="n"/>
    </row>
    <row r="416">
      <c r="A416" s="2" t="inlineStr">
        <is>
          <t>SECRET GARDEN</t>
        </is>
      </c>
      <c r="B416" s="2" t="inlineStr">
        <is>
          <t>I'M MILITAR DOUBLE STRAP TRIANGLE TOP</t>
        </is>
      </c>
      <c r="C416" s="2" t="inlineStr">
        <is>
          <t>263170/IMIL</t>
        </is>
      </c>
      <c r="D416" s="2" t="n">
        <v>5000</v>
      </c>
      <c r="E416" s="3" t="n">
        <v>31204.67815384615</v>
      </c>
      <c r="F416" s="4" t="n">
        <v>11926</v>
      </c>
      <c r="G416" s="3">
        <f>IF(OR(E416="",F416=""),"",E416+F416)</f>
        <v/>
      </c>
      <c r="H416" s="3" t="n">
        <v>51325.50700307692</v>
      </c>
      <c r="I416" s="3" t="n">
        <v>128313.7675076923</v>
      </c>
      <c r="J416" s="3" t="n">
        <v>109900</v>
      </c>
      <c r="K416" s="3" t="n">
        <v>50794.11764705883</v>
      </c>
      <c r="L416" s="5" t="n">
        <v>0.1508725783261325</v>
      </c>
      <c r="M416" s="3" t="n">
        <v>64647.05882352941</v>
      </c>
      <c r="N416" s="5" t="n">
        <v>0.3328284543991041</v>
      </c>
      <c r="O416" s="3" t="n">
        <v>121636.48</v>
      </c>
      <c r="P416" s="5" t="n">
        <v>0.645413299087197</v>
      </c>
      <c r="Q416" s="3" t="n">
        <v>85120</v>
      </c>
      <c r="R416" s="5" t="n">
        <v>0.4932956043956044</v>
      </c>
      <c r="S416" s="3" t="n">
        <v>83.2</v>
      </c>
      <c r="T416" s="5" t="n">
        <v>0.8635795857988164</v>
      </c>
      <c r="U416" s="6" t="n"/>
    </row>
    <row r="417">
      <c r="A417" s="2" t="inlineStr">
        <is>
          <t>SECRET GARDEN</t>
        </is>
      </c>
      <c r="B417" s="2" t="inlineStr">
        <is>
          <t>I'M MILITAR STRAP TIE SIDE BOTTOM</t>
        </is>
      </c>
      <c r="C417" s="2" t="inlineStr">
        <is>
          <t>263236/IMIL</t>
        </is>
      </c>
      <c r="D417" s="2" t="n">
        <v>5000</v>
      </c>
      <c r="E417" s="3" t="n">
        <v>28313.72014151925</v>
      </c>
      <c r="F417" s="4" t="n">
        <v>11926</v>
      </c>
      <c r="G417" s="3">
        <f>IF(OR(E417="",F417=""),"",E417+F417)</f>
        <v/>
      </c>
      <c r="H417" s="3" t="n">
        <v>47885.26696840791</v>
      </c>
      <c r="I417" s="3" t="n">
        <v>119713.1674210198</v>
      </c>
      <c r="J417" s="3" t="n">
        <v>119900</v>
      </c>
      <c r="K417" s="3" t="n">
        <v>55415.96638655462</v>
      </c>
      <c r="L417" s="5" t="n">
        <v>0.2738605357736309</v>
      </c>
      <c r="M417" s="3" t="n">
        <v>70529.41176470587</v>
      </c>
      <c r="N417" s="5" t="n">
        <v>0.4294618495364242</v>
      </c>
      <c r="O417" s="3" t="n">
        <v>114034.2</v>
      </c>
      <c r="P417" s="5" t="n">
        <v>0.6471258610003029</v>
      </c>
      <c r="Q417" s="3" t="n">
        <v>79800</v>
      </c>
      <c r="R417" s="5" t="n">
        <v>0.4957428553694329</v>
      </c>
      <c r="S417" s="3" t="n">
        <v>78</v>
      </c>
      <c r="T417" s="5" t="n">
        <v>0.8642384610610011</v>
      </c>
      <c r="U417" s="6" t="n"/>
    </row>
    <row r="418">
      <c r="A418" s="2" t="inlineStr">
        <is>
          <t>SECRET GARDEN</t>
        </is>
      </c>
      <c r="B418" s="2" t="inlineStr">
        <is>
          <t>I'M MILITAR STRAIGHT ONE PIECE</t>
        </is>
      </c>
      <c r="C418" s="2" t="inlineStr">
        <is>
          <t>263370/IMIL</t>
        </is>
      </c>
      <c r="D418" s="2" t="n">
        <v>5000</v>
      </c>
      <c r="E418" s="3" t="n">
        <v>42873.6112</v>
      </c>
      <c r="F418" s="4" t="n">
        <v>11926</v>
      </c>
      <c r="G418" s="3">
        <f>IF(OR(E418="",F418=""),"",E418+F418)</f>
        <v/>
      </c>
      <c r="H418" s="3" t="n">
        <v>65211.537328</v>
      </c>
      <c r="I418" s="3" t="n">
        <v>163028.84332</v>
      </c>
      <c r="J418" s="3" t="n">
        <v>169900</v>
      </c>
      <c r="K418" s="3" t="n">
        <v>78525.21008403362</v>
      </c>
      <c r="L418" s="5" t="n">
        <v>0.3021398969661299</v>
      </c>
      <c r="M418" s="3" t="n">
        <v>99941.17647058824</v>
      </c>
      <c r="N418" s="5" t="n">
        <v>0.4516813476162448</v>
      </c>
      <c r="O418" s="3" t="n">
        <v>182454.72</v>
      </c>
      <c r="P418" s="5" t="n">
        <v>0.6996536389960204</v>
      </c>
      <c r="Q418" s="3" t="n">
        <v>127680</v>
      </c>
      <c r="R418" s="5" t="n">
        <v>0.5708050501253132</v>
      </c>
      <c r="S418" s="3" t="n">
        <v>124.8</v>
      </c>
      <c r="T418" s="5" t="n">
        <v>0.8844475134952767</v>
      </c>
      <c r="U418" s="6" t="n"/>
    </row>
    <row r="419">
      <c r="A419" s="2" t="inlineStr">
        <is>
          <t>SECRET GARDEN</t>
        </is>
      </c>
      <c r="B419" s="2" t="inlineStr">
        <is>
          <t>I'M MILITAR HALF SLEEVED BODY</t>
        </is>
      </c>
      <c r="C419" s="2" t="inlineStr">
        <is>
          <t>265024/IMIL</t>
        </is>
      </c>
      <c r="D419" s="2" t="n">
        <v>5000</v>
      </c>
      <c r="E419" s="3" t="n">
        <v>45419.34876811595</v>
      </c>
      <c r="F419" s="4" t="n">
        <v>11926</v>
      </c>
      <c r="G419" s="3">
        <f>IF(OR(E419="",F419=""),"",E419+F419)</f>
        <v/>
      </c>
      <c r="H419" s="3" t="n">
        <v>68240.96503405797</v>
      </c>
      <c r="I419" s="3" t="n">
        <v>170602.4125851449</v>
      </c>
      <c r="J419" s="3" t="n">
        <v>169900</v>
      </c>
      <c r="K419" s="3" t="n">
        <v>78525.21008403362</v>
      </c>
      <c r="L419" s="5" t="n">
        <v>0.2697205304290441</v>
      </c>
      <c r="M419" s="3" t="n">
        <v>99941.17647058824</v>
      </c>
      <c r="N419" s="5" t="n">
        <v>0.426208988194249</v>
      </c>
      <c r="O419" s="3" t="n">
        <v>182454.72</v>
      </c>
      <c r="P419" s="5" t="n">
        <v>0.6857009302466061</v>
      </c>
      <c r="Q419" s="3" t="n">
        <v>127680</v>
      </c>
      <c r="R419" s="5" t="n">
        <v>0.5508666293224002</v>
      </c>
      <c r="S419" s="3" t="n">
        <v>124.8</v>
      </c>
      <c r="T419" s="5" t="n">
        <v>0.8790794771252617</v>
      </c>
      <c r="U419" s="6" t="n"/>
    </row>
    <row r="420">
      <c r="A420" s="2" t="inlineStr">
        <is>
          <t>SECRET GARDEN</t>
        </is>
      </c>
      <c r="B420" s="2" t="inlineStr">
        <is>
          <t>I'M MILITAR HALF SLEEVED CLIP BODY</t>
        </is>
      </c>
      <c r="C420" s="2" t="inlineStr">
        <is>
          <t>265025/IMIL</t>
        </is>
      </c>
      <c r="D420" s="2" t="n">
        <v>5000</v>
      </c>
      <c r="E420" s="3" t="n">
        <v>45419.34876811595</v>
      </c>
      <c r="F420" s="4" t="n">
        <v>11926</v>
      </c>
      <c r="G420" s="3">
        <f>IF(OR(E420="",F420=""),"",E420+F420)</f>
        <v/>
      </c>
      <c r="H420" s="3" t="n">
        <v>68240.96503405797</v>
      </c>
      <c r="I420" s="3" t="n">
        <v>170602.4125851449</v>
      </c>
      <c r="J420" s="3" t="n">
        <v>169900</v>
      </c>
      <c r="K420" s="3" t="n">
        <v>78525.21008403362</v>
      </c>
      <c r="L420" s="5" t="n">
        <v>0.2697205304290441</v>
      </c>
      <c r="M420" s="3" t="n">
        <v>99941.17647058824</v>
      </c>
      <c r="N420" s="5" t="n">
        <v>0.426208988194249</v>
      </c>
      <c r="O420" s="3" t="n">
        <v>182454.72</v>
      </c>
      <c r="P420" s="5" t="n">
        <v>0.6857009302466061</v>
      </c>
      <c r="Q420" s="3" t="n">
        <v>127680</v>
      </c>
      <c r="R420" s="5" t="n">
        <v>0.5508666293224002</v>
      </c>
      <c r="S420" s="3" t="n">
        <v>124.8</v>
      </c>
      <c r="T420" s="5" t="n">
        <v>0.8790794771252617</v>
      </c>
      <c r="U420" s="6" t="n"/>
    </row>
    <row r="421">
      <c r="A421" s="2" t="inlineStr">
        <is>
          <t>SECRET GARDEN</t>
        </is>
      </c>
      <c r="B421" s="2" t="inlineStr">
        <is>
          <t>I'M MILITAR SHIRT</t>
        </is>
      </c>
      <c r="C421" s="2" t="inlineStr">
        <is>
          <t>26CA21/IMIL</t>
        </is>
      </c>
      <c r="D421" s="2" t="n">
        <v>5000</v>
      </c>
      <c r="E421" s="3" t="n">
        <v>47099.20661111111</v>
      </c>
      <c r="F421" s="4" t="n">
        <v>11926</v>
      </c>
      <c r="G421" s="3">
        <f>IF(OR(E421="",F421=""),"",E421+F421)</f>
        <v/>
      </c>
      <c r="H421" s="3" t="n">
        <v>70239.99586722223</v>
      </c>
      <c r="I421" s="3" t="n">
        <v>175599.9896680555</v>
      </c>
      <c r="J421" s="3" t="n">
        <v>169900</v>
      </c>
      <c r="K421" s="3" t="n">
        <v>78525.21008403362</v>
      </c>
      <c r="L421" s="5" t="n">
        <v>0.2483279376400854</v>
      </c>
      <c r="M421" s="3" t="n">
        <v>99941.17647058824</v>
      </c>
      <c r="N421" s="5" t="n">
        <v>0.4094005224314957</v>
      </c>
      <c r="O421" s="3" t="n">
        <v>190057</v>
      </c>
      <c r="P421" s="5" t="n">
        <v>0.6894341875799833</v>
      </c>
      <c r="Q421" s="3" t="n">
        <v>133000</v>
      </c>
      <c r="R421" s="5" t="n">
        <v>0.5562014540517961</v>
      </c>
      <c r="S421" s="3" t="n">
        <v>130</v>
      </c>
      <c r="T421" s="5" t="n">
        <v>0.8805157760908682</v>
      </c>
      <c r="U421" s="6" t="n"/>
    </row>
    <row r="422">
      <c r="A422" s="2" t="inlineStr">
        <is>
          <t>SECRET GARDEN</t>
        </is>
      </c>
      <c r="B422" s="2" t="inlineStr">
        <is>
          <t>I'M MILITAR WRAP SKORT</t>
        </is>
      </c>
      <c r="C422" s="2" t="inlineStr">
        <is>
          <t>26FA25/IMIL</t>
        </is>
      </c>
      <c r="D422" s="2" t="n">
        <v>5000</v>
      </c>
      <c r="E422" s="3" t="n">
        <v>36274.27155172414</v>
      </c>
      <c r="F422" s="4" t="n">
        <v>11926</v>
      </c>
      <c r="G422" s="3">
        <f>IF(OR(E422="",F422=""),"",E422+F422)</f>
        <v/>
      </c>
      <c r="H422" s="3" t="n">
        <v>57358.32314655172</v>
      </c>
      <c r="I422" s="3" t="n">
        <v>143395.8078663793</v>
      </c>
      <c r="J422" s="3" t="n">
        <v>139900</v>
      </c>
      <c r="K422" s="3" t="n">
        <v>64659.66386554623</v>
      </c>
      <c r="L422" s="5" t="n">
        <v>0.2545542511332547</v>
      </c>
      <c r="M422" s="3" t="n">
        <v>82294.11764705883</v>
      </c>
      <c r="N422" s="5" t="n">
        <v>0.4142926258904143</v>
      </c>
      <c r="O422" s="3" t="n">
        <v>182454.72</v>
      </c>
      <c r="P422" s="5" t="n">
        <v>0.7358233782511948</v>
      </c>
      <c r="Q422" s="3" t="n">
        <v>127680</v>
      </c>
      <c r="R422" s="5" t="n">
        <v>0.6224916075209576</v>
      </c>
      <c r="S422" s="3" t="n">
        <v>124.8</v>
      </c>
      <c r="T422" s="5" t="n">
        <v>0.8983631251017963</v>
      </c>
      <c r="U422" s="6" t="n"/>
    </row>
    <row r="423">
      <c r="A423" s="2" t="inlineStr">
        <is>
          <t>SECRET GARDEN</t>
        </is>
      </c>
      <c r="B423" s="2" t="inlineStr">
        <is>
          <t>I'M MILITAR MESH KNIT SHIRT</t>
        </is>
      </c>
      <c r="C423" s="2" t="inlineStr">
        <is>
          <t>26CA37/IMIL</t>
        </is>
      </c>
      <c r="D423" s="2" t="n">
        <v>5000</v>
      </c>
      <c r="E423" s="3" t="n">
        <v>37513.25555555556</v>
      </c>
      <c r="F423" s="4" t="n">
        <v>11926</v>
      </c>
      <c r="G423" s="3">
        <f>IF(OR(E423="",F423=""),"",E423+F423)</f>
        <v/>
      </c>
      <c r="H423" s="3" t="n">
        <v>58832.71411111111</v>
      </c>
      <c r="I423" s="3" t="n">
        <v>147081.7852777778</v>
      </c>
      <c r="J423" s="3" t="n">
        <v>149900</v>
      </c>
      <c r="K423" s="3" t="n">
        <v>69281.51260504202</v>
      </c>
      <c r="L423" s="5" t="n">
        <v>0.2864004595656364</v>
      </c>
      <c r="M423" s="3" t="n">
        <v>88176.4705882353</v>
      </c>
      <c r="N423" s="5" t="n">
        <v>0.4393146468015714</v>
      </c>
      <c r="O423" s="3" t="n">
        <v>152045.6</v>
      </c>
      <c r="P423" s="5" t="n">
        <v>0.674839287979688</v>
      </c>
      <c r="Q423" s="3" t="n">
        <v>106400</v>
      </c>
      <c r="R423" s="5" t="n">
        <v>0.5353453425229741</v>
      </c>
      <c r="S423" s="3" t="n">
        <v>104</v>
      </c>
      <c r="T423" s="5" t="n">
        <v>0.8749006691408007</v>
      </c>
      <c r="U423" s="6" t="n"/>
    </row>
    <row r="424">
      <c r="A424" s="2" t="inlineStr">
        <is>
          <t>SECRET GARDEN</t>
        </is>
      </c>
      <c r="B424" s="2" t="inlineStr">
        <is>
          <t>I'M MILITAR MESH KNIT PANTS</t>
        </is>
      </c>
      <c r="C424" s="2" t="inlineStr">
        <is>
          <t>26PA26/IMIL</t>
        </is>
      </c>
      <c r="D424" s="2" t="n">
        <v>5000</v>
      </c>
      <c r="E424" s="3" t="n">
        <v>43982.96774193548</v>
      </c>
      <c r="F424" s="4" t="n">
        <v>11926</v>
      </c>
      <c r="G424" s="3">
        <f>IF(OR(E424="",F424=""),"",E424+F424)</f>
        <v/>
      </c>
      <c r="H424" s="3" t="n">
        <v>66531.67161290323</v>
      </c>
      <c r="I424" s="3" t="n">
        <v>166329.179032258</v>
      </c>
      <c r="J424" s="3" t="n">
        <v>159900</v>
      </c>
      <c r="K424" s="3" t="n">
        <v>73903.36134453783</v>
      </c>
      <c r="L424" s="5" t="n">
        <v>0.2434854555358097</v>
      </c>
      <c r="M424" s="3" t="n">
        <v>94058.82352941176</v>
      </c>
      <c r="N424" s="5" t="n">
        <v>0.4055957150638503</v>
      </c>
      <c r="O424" s="3" t="n">
        <v>174852.44</v>
      </c>
      <c r="P424" s="5" t="n">
        <v>0.6802505716137819</v>
      </c>
      <c r="Q424" s="3" t="n">
        <v>122360</v>
      </c>
      <c r="R424" s="5" t="n">
        <v>0.5430780668360944</v>
      </c>
      <c r="S424" s="3" t="n">
        <v>119.6</v>
      </c>
      <c r="T424" s="5" t="n">
        <v>0.8769825564558716</v>
      </c>
      <c r="U424" s="6" t="n"/>
    </row>
    <row r="425">
      <c r="A425" s="2" t="inlineStr">
        <is>
          <t>SECRET GARDEN</t>
        </is>
      </c>
      <c r="B425" s="2" t="inlineStr">
        <is>
          <t>MOMPOSSINA T-SHIRT</t>
        </is>
      </c>
      <c r="C425" s="2" t="inlineStr">
        <is>
          <t>26TSH20/MOMP</t>
        </is>
      </c>
      <c r="D425" s="2" t="n">
        <v>5000</v>
      </c>
      <c r="E425" s="3" t="n">
        <v>42000</v>
      </c>
      <c r="F425" s="4" t="n">
        <v>11926</v>
      </c>
      <c r="G425" s="3">
        <f>IF(OR(E425="",F425=""),"",E425+F425)</f>
        <v/>
      </c>
      <c r="H425" s="3" t="n">
        <v>64171.94</v>
      </c>
      <c r="I425" s="3" t="n">
        <v>160429.85</v>
      </c>
      <c r="J425" s="3" t="n">
        <v>129900</v>
      </c>
      <c r="K425" s="3" t="n">
        <v>60037.81512605043</v>
      </c>
      <c r="L425" s="5" t="n">
        <v>0.1017994261319898</v>
      </c>
      <c r="M425" s="3" t="n">
        <v>76411.76470588235</v>
      </c>
      <c r="N425" s="5" t="n">
        <v>0.2942709776751347</v>
      </c>
      <c r="O425" s="3" t="n">
        <v>159647.88</v>
      </c>
      <c r="P425" s="5" t="n">
        <v>0.6622191287475913</v>
      </c>
      <c r="Q425" s="3" t="n">
        <v>111720</v>
      </c>
      <c r="R425" s="5" t="n">
        <v>0.5173111349803079</v>
      </c>
      <c r="S425" s="3" t="n">
        <v>109.2</v>
      </c>
      <c r="T425" s="5" t="n">
        <v>0.8700453055716214</v>
      </c>
      <c r="U425" s="6" t="n"/>
    </row>
    <row r="426">
      <c r="A426" s="2" t="inlineStr">
        <is>
          <t>SECRET GARDEN</t>
        </is>
      </c>
      <c r="B426" s="2" t="inlineStr">
        <is>
          <t>I'M WHITE EMBROIDERED T-SHIRT</t>
        </is>
      </c>
      <c r="C426" s="2" t="inlineStr">
        <is>
          <t>26TSH21/WHT</t>
        </is>
      </c>
      <c r="D426" s="2" t="n">
        <v>5000</v>
      </c>
      <c r="E426" s="3" t="n">
        <v>37620</v>
      </c>
      <c r="F426" s="4" t="n">
        <v>11926</v>
      </c>
      <c r="G426" s="3">
        <f>IF(OR(E426="",F426=""),"",E426+F426)</f>
        <v/>
      </c>
      <c r="H426" s="3" t="n">
        <v>58959.74</v>
      </c>
      <c r="I426" s="3" t="n">
        <v>147399.35</v>
      </c>
      <c r="J426" s="3" t="n">
        <v>129900</v>
      </c>
      <c r="K426" s="3" t="n">
        <v>60037.81512605043</v>
      </c>
      <c r="L426" s="5" t="n">
        <v>0.1747534467072575</v>
      </c>
      <c r="M426" s="3" t="n">
        <v>76411.76470588235</v>
      </c>
      <c r="N426" s="5" t="n">
        <v>0.3515919938414164</v>
      </c>
      <c r="O426" s="3" t="n">
        <v>152045.6</v>
      </c>
      <c r="P426" s="5" t="n">
        <v>0.6741372325144562</v>
      </c>
      <c r="Q426" s="3" t="n">
        <v>106400</v>
      </c>
      <c r="R426" s="5" t="n">
        <v>0.5343421052631578</v>
      </c>
      <c r="S426" s="3" t="n">
        <v>104</v>
      </c>
      <c r="T426" s="5" t="n">
        <v>0.8746305668016194</v>
      </c>
      <c r="U426" s="6" t="n"/>
    </row>
    <row r="427">
      <c r="A427" s="2" t="inlineStr">
        <is>
          <t>SECRET GARDEN</t>
        </is>
      </c>
      <c r="B427" s="2" t="inlineStr">
        <is>
          <t>I'M BLACK EMBROIDERED T-SHIRT</t>
        </is>
      </c>
      <c r="C427" s="2" t="inlineStr">
        <is>
          <t>26TSH21/BLA</t>
        </is>
      </c>
      <c r="D427" s="2" t="n">
        <v>5000</v>
      </c>
      <c r="E427" s="3" t="n">
        <v>37620</v>
      </c>
      <c r="F427" s="4" t="n">
        <v>11926</v>
      </c>
      <c r="G427" s="3">
        <f>IF(OR(E427="",F427=""),"",E427+F427)</f>
        <v/>
      </c>
      <c r="H427" s="3" t="n">
        <v>58959.74</v>
      </c>
      <c r="I427" s="3" t="n">
        <v>147399.35</v>
      </c>
      <c r="J427" s="3" t="n">
        <v>129900</v>
      </c>
      <c r="K427" s="3" t="n">
        <v>60037.81512605043</v>
      </c>
      <c r="L427" s="5" t="n">
        <v>0.1747534467072575</v>
      </c>
      <c r="M427" s="3" t="n">
        <v>76411.76470588235</v>
      </c>
      <c r="N427" s="5" t="n">
        <v>0.3515919938414164</v>
      </c>
      <c r="O427" s="3" t="n">
        <v>152045.6</v>
      </c>
      <c r="P427" s="5" t="n">
        <v>0.6741372325144562</v>
      </c>
      <c r="Q427" s="3" t="n">
        <v>106400</v>
      </c>
      <c r="R427" s="5" t="n">
        <v>0.5343421052631578</v>
      </c>
      <c r="S427" s="3" t="n">
        <v>104</v>
      </c>
      <c r="T427" s="5" t="n">
        <v>0.8746305668016194</v>
      </c>
      <c r="U427" s="6" t="n"/>
    </row>
    <row r="428">
      <c r="A428" s="2" t="inlineStr">
        <is>
          <t>SECRET GARDEN</t>
        </is>
      </c>
      <c r="B428" s="2" t="inlineStr">
        <is>
          <t>SOUL SHINE BLACK T-SHIRT</t>
        </is>
      </c>
      <c r="C428" s="2" t="inlineStr">
        <is>
          <t>26TSH20/SUBL</t>
        </is>
      </c>
      <c r="D428" s="2" t="n">
        <v>5000</v>
      </c>
      <c r="E428" s="3" t="n">
        <v>42000</v>
      </c>
      <c r="F428" s="4" t="n">
        <v>11926</v>
      </c>
      <c r="G428" s="3">
        <f>IF(OR(E428="",F428=""),"",E428+F428)</f>
        <v/>
      </c>
      <c r="H428" s="3" t="n">
        <v>64171.94</v>
      </c>
      <c r="I428" s="3" t="n">
        <v>160429.85</v>
      </c>
      <c r="J428" s="3" t="n">
        <v>129900</v>
      </c>
      <c r="K428" s="3" t="n">
        <v>60037.81512605043</v>
      </c>
      <c r="L428" s="5" t="n">
        <v>0.1017994261319898</v>
      </c>
      <c r="M428" s="3" t="n">
        <v>76411.76470588235</v>
      </c>
      <c r="N428" s="5" t="n">
        <v>0.2942709776751347</v>
      </c>
      <c r="O428" s="3" t="n">
        <v>159647.88</v>
      </c>
      <c r="P428" s="5" t="n">
        <v>0.6622191287475913</v>
      </c>
      <c r="Q428" s="3" t="n">
        <v>111720</v>
      </c>
      <c r="R428" s="5" t="n">
        <v>0.5173111349803079</v>
      </c>
      <c r="S428" s="3" t="n">
        <v>109.2</v>
      </c>
      <c r="T428" s="5" t="n">
        <v>0.8700453055716214</v>
      </c>
      <c r="U428" s="6" t="n"/>
    </row>
    <row r="429">
      <c r="A429" s="2" t="inlineStr">
        <is>
          <t>SECRET GARDEN</t>
        </is>
      </c>
      <c r="B429" s="2" t="inlineStr">
        <is>
          <t>SOUL SHINE WHITE T-SHIRT</t>
        </is>
      </c>
      <c r="C429" s="2" t="inlineStr">
        <is>
          <t>26TSH20/SUWH</t>
        </is>
      </c>
      <c r="D429" s="2" t="n">
        <v>5000</v>
      </c>
      <c r="E429" s="3" t="n">
        <v>42000</v>
      </c>
      <c r="F429" s="4" t="n">
        <v>11926</v>
      </c>
      <c r="G429" s="3">
        <f>IF(OR(E429="",F429=""),"",E429+F429)</f>
        <v/>
      </c>
      <c r="H429" s="3" t="n">
        <v>64171.94</v>
      </c>
      <c r="I429" s="3" t="n">
        <v>160429.85</v>
      </c>
      <c r="J429" s="3" t="n">
        <v>129900</v>
      </c>
      <c r="K429" s="3" t="n">
        <v>60037.81512605043</v>
      </c>
      <c r="L429" s="5" t="n">
        <v>0.1017994261319898</v>
      </c>
      <c r="M429" s="3" t="n">
        <v>76411.76470588235</v>
      </c>
      <c r="N429" s="5" t="n">
        <v>0.2942709776751347</v>
      </c>
      <c r="O429" s="3" t="n">
        <v>159647.88</v>
      </c>
      <c r="P429" s="5" t="n">
        <v>0.6622191287475913</v>
      </c>
      <c r="Q429" s="3" t="n">
        <v>111720</v>
      </c>
      <c r="R429" s="5" t="n">
        <v>0.5173111349803079</v>
      </c>
      <c r="S429" s="3" t="n">
        <v>109.2</v>
      </c>
      <c r="T429" s="5" t="n">
        <v>0.8700453055716214</v>
      </c>
      <c r="U429" s="6" t="n"/>
    </row>
    <row r="430">
      <c r="A430" s="2" t="inlineStr">
        <is>
          <t>SECRET GARDEN</t>
        </is>
      </c>
      <c r="B430" s="2" t="inlineStr">
        <is>
          <t>SYMBOLS T-SHIRT</t>
        </is>
      </c>
      <c r="C430" s="2" t="inlineStr">
        <is>
          <t>26TSH20/SYMW</t>
        </is>
      </c>
      <c r="D430" s="2" t="n">
        <v>5000</v>
      </c>
      <c r="E430" s="3" t="n">
        <v>42000</v>
      </c>
      <c r="F430" s="4" t="n">
        <v>11926</v>
      </c>
      <c r="G430" s="3">
        <f>IF(OR(E430="",F430=""),"",E430+F430)</f>
        <v/>
      </c>
      <c r="H430" s="3" t="n">
        <v>64171.94</v>
      </c>
      <c r="I430" s="3" t="n">
        <v>160429.85</v>
      </c>
      <c r="J430" s="3" t="n">
        <v>129900</v>
      </c>
      <c r="K430" s="3" t="n">
        <v>60037.81512605043</v>
      </c>
      <c r="L430" s="5" t="n">
        <v>0.1017994261319898</v>
      </c>
      <c r="M430" s="3" t="n">
        <v>76411.76470588235</v>
      </c>
      <c r="N430" s="5" t="n">
        <v>0.2942709776751347</v>
      </c>
      <c r="O430" s="3" t="n">
        <v>159647.88</v>
      </c>
      <c r="P430" s="5" t="n">
        <v>0.6622191287475913</v>
      </c>
      <c r="Q430" s="3" t="n">
        <v>111720</v>
      </c>
      <c r="R430" s="5" t="n">
        <v>0.5173111349803079</v>
      </c>
      <c r="S430" s="3" t="n">
        <v>109.2</v>
      </c>
      <c r="T430" s="5" t="n">
        <v>0.8700453055716214</v>
      </c>
      <c r="U430" s="6" t="n"/>
    </row>
    <row r="431">
      <c r="A431" s="2" t="inlineStr">
        <is>
          <t>SECRET GARDEN</t>
        </is>
      </c>
      <c r="B431" s="2" t="inlineStr">
        <is>
          <t>GARDEN BLACK T-SHIRT</t>
        </is>
      </c>
      <c r="C431" s="2" t="inlineStr">
        <is>
          <t>26TSH20/GABL</t>
        </is>
      </c>
      <c r="D431" s="2" t="n">
        <v>5000</v>
      </c>
      <c r="E431" s="3" t="n">
        <v>42000</v>
      </c>
      <c r="F431" s="4" t="n">
        <v>11926</v>
      </c>
      <c r="G431" s="3">
        <f>IF(OR(E431="",F431=""),"",E431+F431)</f>
        <v/>
      </c>
      <c r="H431" s="3" t="n">
        <v>64171.94</v>
      </c>
      <c r="I431" s="3" t="n">
        <v>160429.85</v>
      </c>
      <c r="J431" s="3" t="n">
        <v>129900</v>
      </c>
      <c r="K431" s="3" t="n">
        <v>60037.81512605043</v>
      </c>
      <c r="L431" s="5" t="n">
        <v>0.1017994261319898</v>
      </c>
      <c r="M431" s="3" t="n">
        <v>76411.76470588235</v>
      </c>
      <c r="N431" s="5" t="n">
        <v>0.2942709776751347</v>
      </c>
      <c r="O431" s="3" t="n">
        <v>159647.88</v>
      </c>
      <c r="P431" s="5" t="n">
        <v>0.6622191287475913</v>
      </c>
      <c r="Q431" s="3" t="n">
        <v>111720</v>
      </c>
      <c r="R431" s="5" t="n">
        <v>0.5173111349803079</v>
      </c>
      <c r="S431" s="3" t="n">
        <v>109.2</v>
      </c>
      <c r="T431" s="5" t="n">
        <v>0.8700453055716214</v>
      </c>
      <c r="U431" s="6" t="n"/>
    </row>
    <row r="432">
      <c r="A432" s="2" t="inlineStr">
        <is>
          <t>SECRET GARDEN</t>
        </is>
      </c>
      <c r="B432" s="2" t="inlineStr">
        <is>
          <t>GARDEN WHITE T-SHIRT</t>
        </is>
      </c>
      <c r="C432" s="2" t="inlineStr">
        <is>
          <t>26TSH20/GAWH</t>
        </is>
      </c>
      <c r="D432" s="2" t="n">
        <v>5000</v>
      </c>
      <c r="E432" s="3" t="n">
        <v>42000</v>
      </c>
      <c r="F432" s="4" t="n">
        <v>11926</v>
      </c>
      <c r="G432" s="3">
        <f>IF(OR(E432="",F432=""),"",E432+F432)</f>
        <v/>
      </c>
      <c r="H432" s="3" t="n">
        <v>64171.94</v>
      </c>
      <c r="I432" s="3" t="n">
        <v>160429.85</v>
      </c>
      <c r="J432" s="3" t="n">
        <v>129900</v>
      </c>
      <c r="K432" s="3" t="n">
        <v>60037.81512605043</v>
      </c>
      <c r="L432" s="5" t="n">
        <v>0.1017994261319898</v>
      </c>
      <c r="M432" s="3" t="n">
        <v>76411.76470588235</v>
      </c>
      <c r="N432" s="5" t="n">
        <v>0.2942709776751347</v>
      </c>
      <c r="O432" s="3" t="n">
        <v>159647.88</v>
      </c>
      <c r="P432" s="5" t="n">
        <v>0.6622191287475913</v>
      </c>
      <c r="Q432" s="3" t="n">
        <v>111720</v>
      </c>
      <c r="R432" s="5" t="n">
        <v>0.5173111349803079</v>
      </c>
      <c r="S432" s="3" t="n">
        <v>109.2</v>
      </c>
      <c r="T432" s="5" t="n">
        <v>0.8700453055716214</v>
      </c>
      <c r="U432" s="6" t="n"/>
    </row>
    <row r="433">
      <c r="A433" s="2" t="inlineStr">
        <is>
          <t>SECRET GARDEN</t>
        </is>
      </c>
      <c r="B433" s="2" t="inlineStr">
        <is>
          <t>SOUL FREE BLACK T-SHIRT</t>
        </is>
      </c>
      <c r="C433" s="2" t="inlineStr">
        <is>
          <t>26TSH20/SFBL</t>
        </is>
      </c>
      <c r="D433" s="2" t="n">
        <v>5000</v>
      </c>
      <c r="E433" s="3" t="n">
        <v>42000</v>
      </c>
      <c r="F433" s="4" t="n">
        <v>11926</v>
      </c>
      <c r="G433" s="3">
        <f>IF(OR(E433="",F433=""),"",E433+F433)</f>
        <v/>
      </c>
      <c r="H433" s="3" t="n">
        <v>64171.94</v>
      </c>
      <c r="I433" s="3" t="n">
        <v>160429.85</v>
      </c>
      <c r="J433" s="3" t="n">
        <v>129900</v>
      </c>
      <c r="K433" s="3" t="n">
        <v>60037.81512605043</v>
      </c>
      <c r="L433" s="5" t="n">
        <v>0.1017994261319898</v>
      </c>
      <c r="M433" s="3" t="n">
        <v>76411.76470588235</v>
      </c>
      <c r="N433" s="5" t="n">
        <v>0.2942709776751347</v>
      </c>
      <c r="O433" s="3" t="n">
        <v>159647.88</v>
      </c>
      <c r="P433" s="5" t="n">
        <v>0.6622191287475913</v>
      </c>
      <c r="Q433" s="3" t="n">
        <v>111720</v>
      </c>
      <c r="R433" s="5" t="n">
        <v>0.5173111349803079</v>
      </c>
      <c r="S433" s="3" t="n">
        <v>109.2</v>
      </c>
      <c r="T433" s="5" t="n">
        <v>0.8700453055716214</v>
      </c>
      <c r="U433" s="6" t="n"/>
    </row>
    <row r="434">
      <c r="A434" s="2" t="inlineStr">
        <is>
          <t>SECRET GARDEN</t>
        </is>
      </c>
      <c r="B434" s="2" t="inlineStr">
        <is>
          <t>SYMBOLS MESH LONG SHIRT</t>
        </is>
      </c>
      <c r="C434" s="2" t="inlineStr">
        <is>
          <t>26CA32/SYMW</t>
        </is>
      </c>
      <c r="D434" s="2" t="n">
        <v>5000</v>
      </c>
      <c r="E434" s="3" t="n">
        <v>19740.475</v>
      </c>
      <c r="F434" s="4" t="n">
        <v>5225</v>
      </c>
      <c r="G434" s="3">
        <f>IF(OR(E434="",F434=""),"",E434+F434)</f>
        <v/>
      </c>
      <c r="H434" s="3" t="n">
        <v>29708.91525</v>
      </c>
      <c r="I434" s="3" t="n">
        <v>74272.28812499999</v>
      </c>
      <c r="J434" s="3" t="n">
        <v>69900</v>
      </c>
      <c r="K434" s="3" t="n">
        <v>32306.72268907564</v>
      </c>
      <c r="L434" s="5" t="n">
        <v>0.2272359149434258</v>
      </c>
      <c r="M434" s="3" t="n">
        <v>41117.64705882353</v>
      </c>
      <c r="N434" s="5" t="n">
        <v>0.3928282188841202</v>
      </c>
      <c r="O434" s="3" t="n">
        <v>76022.8</v>
      </c>
      <c r="P434" s="5" t="n">
        <v>0.6716054262668568</v>
      </c>
      <c r="Q434" s="3" t="n">
        <v>53200</v>
      </c>
      <c r="R434" s="5" t="n">
        <v>0.5307241541353384</v>
      </c>
      <c r="S434" s="3" t="n">
        <v>52</v>
      </c>
      <c r="T434" s="5" t="n">
        <v>0.8736565030364373</v>
      </c>
      <c r="U434" s="6"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cols>
    <col width="18" customWidth="1" min="1" max="1"/>
    <col width="18" customWidth="1" min="2" max="2"/>
    <col width="20" customWidth="1" min="3" max="3"/>
    <col width="34" customWidth="1" min="4" max="4"/>
    <col width="28" customWidth="1" min="5" max="5"/>
    <col width="34" customWidth="1" min="6" max="6"/>
    <col width="34" customWidth="1" min="7" max="7"/>
  </cols>
  <sheetData>
    <row r="1">
      <c r="A1" s="1" t="inlineStr">
        <is>
          <t>Colección</t>
        </is>
      </c>
      <c r="B1" s="1" t="inlineStr">
        <is>
          <t># SKUs</t>
        </is>
      </c>
      <c r="C1" s="1" t="inlineStr">
        <is>
          <t>Prendas producidas</t>
        </is>
      </c>
      <c r="D1" s="1" t="inlineStr">
        <is>
          <t>Pool total costos indirectos (colección)</t>
        </is>
      </c>
      <c r="E1" s="1" t="inlineStr">
        <is>
          <t>Costo indirecto por prenda</t>
        </is>
      </c>
      <c r="F1" s="1" t="inlineStr">
        <is>
          <t>Salario Jefe de Producción (dentro del pool)</t>
        </is>
      </c>
      <c r="G1" s="1" t="inlineStr">
        <is>
          <t>% del pool que es salario jefe de producción</t>
        </is>
      </c>
    </row>
    <row r="2">
      <c r="A2" s="2" t="inlineStr">
        <is>
          <t>ANCIENT</t>
        </is>
      </c>
      <c r="B2" s="2" t="n">
        <v>135</v>
      </c>
      <c r="C2" s="2" t="n">
        <v>8000</v>
      </c>
      <c r="D2" s="3" t="n">
        <v>39915093</v>
      </c>
      <c r="E2" s="3">
        <f>D2/C2</f>
        <v/>
      </c>
      <c r="F2" s="3" t="n">
        <v>14637093</v>
      </c>
      <c r="G2" s="5">
        <f>F2/D2</f>
        <v/>
      </c>
    </row>
    <row r="3">
      <c r="A3" s="2" t="inlineStr">
        <is>
          <t>LA EMPERATRIZ</t>
        </is>
      </c>
      <c r="B3" s="2" t="n">
        <v>185</v>
      </c>
      <c r="C3" s="2" t="n">
        <v>8000</v>
      </c>
      <c r="D3" s="3" t="n">
        <v>37808250</v>
      </c>
      <c r="E3" s="3">
        <f>D3/C3</f>
        <v/>
      </c>
      <c r="F3" s="3" t="n">
        <v>12600000</v>
      </c>
      <c r="G3" s="5">
        <f>F3/D3</f>
        <v/>
      </c>
    </row>
    <row r="4">
      <c r="A4" s="2" t="inlineStr">
        <is>
          <t>SECRET GARDEN</t>
        </is>
      </c>
      <c r="B4" s="2" t="n">
        <v>113</v>
      </c>
      <c r="C4" s="2" t="n">
        <v>5000</v>
      </c>
      <c r="D4" s="3" t="n">
        <v>33505000</v>
      </c>
      <c r="E4" s="3">
        <f>D4/C4</f>
        <v/>
      </c>
      <c r="F4" s="3" t="n">
        <v>12600000</v>
      </c>
      <c r="G4" s="5">
        <f>F4/D4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2" customWidth="1" min="1" max="1"/>
    <col width="110" customWidth="1" min="2" max="2"/>
  </cols>
  <sheetData>
    <row r="1" ht="60" customHeight="1">
      <c r="A1" s="8" t="inlineStr">
        <is>
          <t>⚠ Doble conteo en costos indirectos</t>
        </is>
      </c>
      <c r="B1" s="9" t="inlineStr">
        <is>
          <t>El usuario (Mónica/Natalia) advirtió que estos costos vienen inflados por un costo indirecto con doble imputación. La columna 'Costo Indirecto asignado' en la pestaña SKUs (en rojo) es el número tal como viene en los archivos originales — todavía NO está corregido. Falta que nos confirmen cuál es la duplicación y el valor correcto.</t>
        </is>
      </c>
    </row>
    <row r="2" ht="60" customHeight="1">
      <c r="A2" s="8" t="inlineStr">
        <is>
          <t>Hipótesis: Salario Jefe de Producción</t>
        </is>
      </c>
      <c r="B2" s="9" t="inlineStr">
        <is>
          <t>Es la línea más grande dentro del pool de costos indirectos de cada colección (33%-37% del total, ver pestaña 'Resumen por colección'). Si este salario también se registra como costo fijo de nómina en la contabilidad general de la empresa, se estaría contando dos veces: una vez aquí, prorrateado por prenda dentro del costo de producto, y otra vez en la nómina/costos fijos del P&amp;L. Hay que confirmar esto antes de usar 'Costo Total' para calcular márgenes o puntos de equilibrio.</t>
        </is>
      </c>
    </row>
    <row r="3" ht="60" customHeight="1">
      <c r="A3" s="8" t="inlineStr">
        <is>
          <t>ANCIENT y DICIEMBRE son el mismo archivo</t>
        </is>
      </c>
      <c r="B3" s="9" t="inlineStr">
        <is>
          <t>COSTOS_ANCIENT.xlsx y COSTOS_DICIEMBRE.xlsx tienen exactamente los mismos 135 SKUs, con los mismos costos y precios, fila por fila. Se consolidó como una sola colección ('ANCIENT') para no duplicar las mismas 135 referencias en la base. Falta confirmar si son en efecto la misma colección (guardada dos veces con nombres distintos) o si 'Diciembre' debía tener datos propios que no se actualizaron.</t>
        </is>
      </c>
    </row>
    <row r="4" ht="60" customHeight="1">
      <c r="A4" s="8" t="inlineStr">
        <is>
          <t>Estructura de precios por canal, ya identificada</t>
        </is>
      </c>
      <c r="B4" s="9" t="inlineStr">
        <is>
          <t>Estos archivos ya traen una estructura de precios por canal (columnas Precio Multimarca, Precio Página Web, Internacional, Distribuidor Inter 30%, Precio Sugerido Retail) — esto es justamente la 'estructura de precios' que menciona el correo del asesor. Hipótesis de mapeo a los 4 canales del presupuesto: Página Web → Digital · Multimarca → Nacional (mayoristas/boutiques dentro de Colombia) · Internacional / Distribuidor Inter → Internacional · Precio Sugerido Retail / Precio Ideal → Punto de venta. Falta confirmar con el asesor.</t>
        </is>
      </c>
    </row>
    <row r="5" ht="60" customHeight="1">
      <c r="A5" s="8" t="inlineStr">
        <is>
          <t>Costo variable de Digital ya definido (solo en ANCIENT/DICIEMBRE)</t>
        </is>
      </c>
      <c r="B5" s="9" t="inlineStr">
        <is>
          <t>La hoja 'PAGINA WEB' de ANCIENT/DICIEMBRE desglosa el costo de vender por la tienda online: Pauta 15%, Pasarela de pago 3%, Shopify 2%, Flete 8%, Shopify Fee 0.18%, Contenido 2% = 30.18% de costo variable sobre el precio de venta. No está presente en LA EMPERATRIZ ni en SECRET GARDEN — replicar este desglose hacia adelante; es un insumo directo para el punto de equilibrio de Digital.</t>
        </is>
      </c>
    </row>
    <row r="6" ht="60" customHeight="1">
      <c r="A6" s="8" t="inlineStr">
        <is>
          <t>Pendiente: costos fijos de la empresa y de cada canal</t>
        </is>
      </c>
      <c r="B6" s="9" t="inlineStr">
        <is>
          <t>Esta base cubre el costo directo e indirecto POR PRENDA de cada colección. Todavía falta el costo fijo de la operación (arriendo showroom, nómina, servicios, etc.) para calcular el punto de equilibrio — eso no está en estos archivos de costeo de colección.</t>
        </is>
      </c>
    </row>
    <row r="7" ht="60" customHeight="1">
      <c r="A7" s="8" t="inlineStr">
        <is>
          <t>Pendiente: ventas reales Nacional e Internacional</t>
        </is>
      </c>
      <c r="B7" s="9" t="inlineStr">
        <is>
          <t>Natalia mencionó que la fuente de datos de ventas de Nacional e Internacional se compartirá luego. Sin eso no se puede calcular el precio promedio real ni la mezcla de ventas por canal para el presupuesto 2026.</t>
        </is>
      </c>
    </row>
    <row r="8" ht="60" customHeight="1">
      <c r="A8" s="8" t="inlineStr">
        <is>
          <t>⚠ 8 SKUs sin costo directo en el archivo original</t>
        </is>
      </c>
      <c r="B8" s="9" t="inlineStr">
        <is>
          <t>6 en ANCIENT (p.ej. "I'M WHITE MESH KNIT SHIRT", "I'M BLUE CLASSIC JEAN") y 2 en LA EMPERATRIZ ("I'M ... EMBROIDERED WAISTCOAT") ya tenían la celda de Costo Producto vacía en el archivo original — ahí mismo esto generaba un error #DIV/0! en la columna de porcentaje de indirectos. En esta base se marcan en la columna 'Alertas' y su Costo Total queda en blanco (no se asume $0) para no ocultar el hueco. Hay que pedir el costo directo real de estas 8 referencias.</t>
        </is>
      </c>
    </row>
    <row r="9" ht="60" customHeight="1">
      <c r="A9" s="8" t="inlineStr">
        <is>
          <t>7 ítems sin código de referencia (SKU)</t>
        </is>
      </c>
      <c r="B9" s="9" t="inlineStr">
        <is>
          <t>SET MESH KNIT PANTS, TOTE BAG, COLLAR AMARILLO/AZUL/ROJO (x2) en ANCIENT, y PAÑOLETA en LA EMPERATRIZ no tienen referencia asignada en el archivo original (son accesorios, probablemente sin SKU formal todavía). PAÑOLETA además nunca recibió el prorrateo de costo indirecto de su colección. Marcados en 'Alertas'.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2026-08-03T18:59:29Z</dcterms:created>
  <dcterms:modified xsi:type="dcterms:W3CDTF">2026-08-03T18:59:29Z</dcterms:modified>
</cp:coreProperties>
</file>