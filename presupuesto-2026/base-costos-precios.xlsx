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s" sheetId="1" state="visible" r:id="rId1"/>
    <sheet name="Resumen por colección" sheetId="2" state="visible" r:id="rId2"/>
    <sheet name="Notas y advertencias" sheetId="3" state="visible" r:id="rId3"/>
  </sheets>
  <definedNames/>
  <calcPr calcId="124519" fullCalcOnLoad="1"/>
</workbook>
</file>

<file path=xl/styles.xml><?xml version="1.0" encoding="utf-8"?>
<styleSheet xmlns="http://schemas.openxmlformats.org/spreadsheetml/2006/main">
  <numFmts count="2">
    <numFmt numFmtId="164" formatCode="0.0%"/>
    <numFmt numFmtId="165" formatCode="$#,##0"/>
  </numFmts>
  <fonts count="6">
    <font>
      <name val="Calibri"/>
      <family val="2"/>
      <color theme="1"/>
      <sz val="11"/>
      <scheme val="minor"/>
    </font>
    <font>
      <name val="Arial"/>
      <b val="1"/>
      <color rgb="00FFFFFF"/>
    </font>
    <font>
      <name val="Arial"/>
    </font>
    <font>
      <name val="Arial"/>
      <color rgb="00C00000"/>
    </font>
    <font>
      <name val="Arial"/>
      <b val="1"/>
      <color rgb="001F7A1F"/>
    </font>
    <font>
      <name val="Arial"/>
      <b val="1"/>
    </font>
  </fonts>
  <fills count="3">
    <fill>
      <patternFill/>
    </fill>
    <fill>
      <patternFill patternType="gray125"/>
    </fill>
    <fill>
      <patternFill patternType="solid">
        <fgColor rgb="002F5597"/>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2" fillId="0" borderId="0" pivotButton="0" quotePrefix="0" xfId="0"/>
    <xf numFmtId="165" fontId="2" fillId="0" borderId="0" pivotButton="0" quotePrefix="0" xfId="0"/>
    <xf numFmtId="165" fontId="3" fillId="0" borderId="0" pivotButton="0" quotePrefix="0" xfId="0"/>
    <xf numFmtId="164" fontId="2" fillId="0" borderId="0" pivotButton="0" quotePrefix="0" xfId="0"/>
    <xf numFmtId="164" fontId="4" fillId="0" borderId="0" pivotButton="0" quotePrefix="0" xfId="0"/>
    <xf numFmtId="0" fontId="2" fillId="0" borderId="0" applyAlignment="1" pivotButton="0" quotePrefix="0" xfId="0">
      <alignment wrapText="1"/>
    </xf>
    <xf numFmtId="0" fontId="3" fillId="0" borderId="0" applyAlignment="1" pivotButton="0" quotePrefix="0" xfId="0">
      <alignment wrapText="1"/>
    </xf>
    <xf numFmtId="0" fontId="5"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3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30" customWidth="1" min="4" max="4"/>
    <col width="30" customWidth="1" min="5" max="5"/>
    <col width="30" customWidth="1" min="6" max="6"/>
    <col width="30" customWidth="1" min="7" max="7"/>
    <col width="30" customWidth="1" min="8" max="8"/>
    <col width="23" customWidth="1" min="9" max="9"/>
    <col width="14" customWidth="1" min="10" max="10"/>
    <col width="19" customWidth="1" min="11" max="11"/>
    <col width="30" customWidth="1" min="12" max="12"/>
    <col width="19" customWidth="1" min="13" max="13"/>
    <col width="30" customWidth="1" min="14" max="14"/>
    <col width="15" customWidth="1" min="15" max="15"/>
    <col width="30" customWidth="1" min="16" max="16"/>
    <col width="24"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55" customWidth="1" min="26" max="26"/>
  </cols>
  <sheetData>
    <row r="1">
      <c r="A1" s="1" t="inlineStr">
        <is>
          <t>Colección</t>
        </is>
      </c>
      <c r="B1" s="1" t="inlineStr">
        <is>
          <t>Nombre</t>
        </is>
      </c>
      <c r="C1" s="1" t="inlineStr">
        <is>
          <t>Referencia</t>
        </is>
      </c>
      <c r="D1" s="1" t="inlineStr">
        <is>
          <t>Prendas producidas (colección)</t>
        </is>
      </c>
      <c r="E1" s="1" t="inlineStr">
        <is>
          <t>Costo Producto (directo) -- VIGENTE</t>
        </is>
      </c>
      <c r="F1" s="1" t="inlineStr">
        <is>
          <t>Costo Indirecto (HISTÓRICO -- ya no se usa)</t>
        </is>
      </c>
      <c r="G1" s="1" t="inlineStr">
        <is>
          <t>Costo Total histórico (directo+indirecto, NO VIGENTE)</t>
        </is>
      </c>
      <c r="H1" s="1" t="inlineStr">
        <is>
          <t>Costo + IVA mínimo (histórico)</t>
        </is>
      </c>
      <c r="I1" s="1" t="inlineStr">
        <is>
          <t>Precio Final Sugerido</t>
        </is>
      </c>
      <c r="J1" s="1" t="inlineStr">
        <is>
          <t>Precio Ideal</t>
        </is>
      </c>
      <c r="K1" s="1" t="inlineStr">
        <is>
          <t>Precio Multimarca</t>
        </is>
      </c>
      <c r="L1" s="1" t="inlineStr">
        <is>
          <t>Margen Multimarca (histórico, con indirecto)</t>
        </is>
      </c>
      <c r="M1" s="1" t="inlineStr">
        <is>
          <t>Precio Página Web</t>
        </is>
      </c>
      <c r="N1" s="1" t="inlineStr">
        <is>
          <t>Margen Página Web y Redes (histórico, con indirecto)</t>
        </is>
      </c>
      <c r="O1" s="1" t="inlineStr">
        <is>
          <t>Internacional</t>
        </is>
      </c>
      <c r="P1" s="1" t="inlineStr">
        <is>
          <t>Margen Internacional (histórico, con indirecto)</t>
        </is>
      </c>
      <c r="Q1" s="1" t="inlineStr">
        <is>
          <t>Distribuidor Inter 30%</t>
        </is>
      </c>
      <c r="R1" s="1" t="inlineStr">
        <is>
          <t>Margen Distribuidor (histórico, con indirecto)</t>
        </is>
      </c>
      <c r="S1" s="1" t="inlineStr">
        <is>
          <t>Precio Sugerido Retail (USD)</t>
        </is>
      </c>
      <c r="T1" s="1" t="inlineStr">
        <is>
          <t>Margen Directo Internacional (histórico, con indirecto)</t>
        </is>
      </c>
      <c r="U1" s="1" t="inlineStr">
        <is>
          <t>Margen Multimarca (VIGENTE, solo directo)</t>
        </is>
      </c>
      <c r="V1" s="1" t="inlineStr">
        <is>
          <t>Margen Página Web (VIGENTE, solo directo)</t>
        </is>
      </c>
      <c r="W1" s="1" t="inlineStr">
        <is>
          <t>Margen Internacional (VIGENTE, solo directo)</t>
        </is>
      </c>
      <c r="X1" s="1" t="inlineStr">
        <is>
          <t>Margen Distribuidor (VIGENTE, solo directo)</t>
        </is>
      </c>
      <c r="Y1" s="1" t="inlineStr">
        <is>
          <t>Margen Directo Internacional (VIGENTE, solo directo)</t>
        </is>
      </c>
      <c r="Z1" s="1" t="inlineStr">
        <is>
          <t>Alertas</t>
        </is>
      </c>
    </row>
    <row r="2">
      <c r="A2" s="2" t="inlineStr">
        <is>
          <t>ANCIENT</t>
        </is>
      </c>
      <c r="B2" s="2" t="inlineStr">
        <is>
          <t>PRISMA TRIANGLE TOP</t>
        </is>
      </c>
      <c r="C2" s="2" t="inlineStr">
        <is>
          <t>283135/PRS</t>
        </is>
      </c>
      <c r="D2" s="2" t="n">
        <v>8000</v>
      </c>
      <c r="E2" s="3" t="n">
        <v>30776.65</v>
      </c>
      <c r="F2" s="4" t="n">
        <v>11739.386625</v>
      </c>
      <c r="G2" s="3">
        <f>IF(OR(E2="",F2=""),"",E2+F2)</f>
        <v/>
      </c>
      <c r="H2" s="3" t="n">
        <v>50594.08358375</v>
      </c>
      <c r="I2" s="3" t="n">
        <v>126485.208959375</v>
      </c>
      <c r="J2" s="3" t="n">
        <v>129900</v>
      </c>
      <c r="K2" s="3" t="n">
        <v>62221.00840336135</v>
      </c>
      <c r="L2" s="5" t="n">
        <v>0.3166932244270221</v>
      </c>
      <c r="M2" s="3" t="n">
        <v>76215.27731092437</v>
      </c>
      <c r="N2" s="5" t="n">
        <v>0.4421586048745383</v>
      </c>
      <c r="O2" s="3" t="n">
        <v>125047.1665441176</v>
      </c>
      <c r="P2" s="5" t="n">
        <v>0.6599999999999999</v>
      </c>
      <c r="Q2" s="3" t="n">
        <v>78400</v>
      </c>
      <c r="R2" s="5" t="n">
        <v>0.4577036144770408</v>
      </c>
      <c r="S2" s="3" t="n">
        <v>83.2</v>
      </c>
      <c r="T2" s="5" t="n">
        <v>0.8539971269745879</v>
      </c>
      <c r="U2" s="6">
        <f>IF(OR(K2="",E2=""),"",(K2-E2)/K2)</f>
        <v/>
      </c>
      <c r="V2" s="6">
        <f>IF(OR(M2="",E2=""),"",(M2-E2)/M2)</f>
        <v/>
      </c>
      <c r="W2" s="6">
        <f>IF(OR(O2="",E2=""),"",(O2-E2)/O2)</f>
        <v/>
      </c>
      <c r="X2" s="6">
        <f>IF(OR(Q2="",E2=""),"",(Q2-E2)/Q2)</f>
        <v/>
      </c>
      <c r="Y2" s="6">
        <f>IF(OR(S2="",E2=""),"",((S2*3500)-E2)/(S2*3500))</f>
        <v/>
      </c>
      <c r="Z2" s="7" t="n"/>
    </row>
    <row r="3">
      <c r="A3" s="2" t="inlineStr">
        <is>
          <t>ANCIENT</t>
        </is>
      </c>
      <c r="B3" s="2" t="inlineStr">
        <is>
          <t>PRISMA STRAP TIE SIDE BOTTOM</t>
        </is>
      </c>
      <c r="C3" s="2" t="inlineStr">
        <is>
          <t>283236/PRS</t>
        </is>
      </c>
      <c r="D3" s="2" t="n">
        <v>8000</v>
      </c>
      <c r="E3" s="3" t="n">
        <v>28958.3</v>
      </c>
      <c r="F3" s="4" t="n">
        <v>11739.386625</v>
      </c>
      <c r="G3" s="3">
        <f>IF(OR(E3="",F3=""),"",E3+F3)</f>
        <v/>
      </c>
      <c r="H3" s="3" t="n">
        <v>48430.24708375</v>
      </c>
      <c r="I3" s="3" t="n">
        <v>121075.617709375</v>
      </c>
      <c r="J3" s="3" t="n">
        <v>119900</v>
      </c>
      <c r="K3" s="3" t="n">
        <v>57431.09243697478</v>
      </c>
      <c r="L3" s="5" t="n">
        <v>0.2913649227609263</v>
      </c>
      <c r="M3" s="3" t="n">
        <v>70348.05042016806</v>
      </c>
      <c r="N3" s="5" t="n">
        <v>0.4214809595727987</v>
      </c>
      <c r="O3" s="3" t="n">
        <v>119699.0783088235</v>
      </c>
      <c r="P3" s="5" t="n">
        <v>0.66</v>
      </c>
      <c r="Q3" s="3" t="n">
        <v>78400</v>
      </c>
      <c r="R3" s="5" t="n">
        <v>0.4808968542729591</v>
      </c>
      <c r="S3" s="3" t="n">
        <v>83.2</v>
      </c>
      <c r="T3" s="5" t="n">
        <v>0.8602414607657967</v>
      </c>
      <c r="U3" s="6">
        <f>IF(OR(K3="",E3=""),"",(K3-E3)/K3)</f>
        <v/>
      </c>
      <c r="V3" s="6">
        <f>IF(OR(M3="",E3=""),"",(M3-E3)/M3)</f>
        <v/>
      </c>
      <c r="W3" s="6">
        <f>IF(OR(O3="",E3=""),"",(O3-E3)/O3)</f>
        <v/>
      </c>
      <c r="X3" s="6">
        <f>IF(OR(Q3="",E3=""),"",(Q3-E3)/Q3)</f>
        <v/>
      </c>
      <c r="Y3" s="6">
        <f>IF(OR(S3="",E3=""),"",((S3*3500)-E3)/(S3*3500))</f>
        <v/>
      </c>
      <c r="Z3" s="7" t="n"/>
    </row>
    <row r="4">
      <c r="A4" s="2" t="inlineStr">
        <is>
          <t>ANCIENT</t>
        </is>
      </c>
      <c r="B4" s="2" t="inlineStr">
        <is>
          <t>PRISMA KNOTTED BRALETTE TOP</t>
        </is>
      </c>
      <c r="C4" s="2" t="inlineStr">
        <is>
          <t>283179/PRS</t>
        </is>
      </c>
      <c r="D4" s="2" t="n">
        <v>8000</v>
      </c>
      <c r="E4" s="3" t="n">
        <v>35703.28125</v>
      </c>
      <c r="F4" s="4" t="n">
        <v>11739.386625</v>
      </c>
      <c r="G4" s="3">
        <f>IF(OR(E4="",F4=""),"",E4+F4)</f>
        <v/>
      </c>
      <c r="H4" s="3" t="n">
        <v>56456.77477125</v>
      </c>
      <c r="I4" s="3" t="n">
        <v>141141.936928125</v>
      </c>
      <c r="J4" s="3" t="n">
        <v>139900</v>
      </c>
      <c r="K4" s="3" t="n">
        <v>67010.9243697479</v>
      </c>
      <c r="L4" s="5" t="n">
        <v>0.2920159164911026</v>
      </c>
      <c r="M4" s="3" t="n">
        <v>82082.50420168067</v>
      </c>
      <c r="N4" s="5" t="n">
        <v>0.4220124210826819</v>
      </c>
      <c r="O4" s="3" t="n">
        <v>139537.2584558823</v>
      </c>
      <c r="P4" s="5" t="n">
        <v>0.66</v>
      </c>
      <c r="Q4" s="3" t="n">
        <v>83299.99999999999</v>
      </c>
      <c r="R4" s="5" t="n">
        <v>0.4304601695678271</v>
      </c>
      <c r="S4" s="3" t="n">
        <v>88.40000000000001</v>
      </c>
      <c r="T4" s="5" t="n">
        <v>0.8466623533451842</v>
      </c>
      <c r="U4" s="6">
        <f>IF(OR(K4="",E4=""),"",(K4-E4)/K4)</f>
        <v/>
      </c>
      <c r="V4" s="6">
        <f>IF(OR(M4="",E4=""),"",(M4-E4)/M4)</f>
        <v/>
      </c>
      <c r="W4" s="6">
        <f>IF(OR(O4="",E4=""),"",(O4-E4)/O4)</f>
        <v/>
      </c>
      <c r="X4" s="6">
        <f>IF(OR(Q4="",E4=""),"",(Q4-E4)/Q4)</f>
        <v/>
      </c>
      <c r="Y4" s="6">
        <f>IF(OR(S4="",E4=""),"",((S4*3500)-E4)/(S4*3500))</f>
        <v/>
      </c>
      <c r="Z4" s="7" t="n"/>
    </row>
    <row r="5">
      <c r="A5" s="2" t="inlineStr">
        <is>
          <t>ANCIENT</t>
        </is>
      </c>
      <c r="B5" s="2" t="inlineStr">
        <is>
          <t>PRISMA HIGH WAIST BOTTOM</t>
        </is>
      </c>
      <c r="C5" s="2" t="inlineStr">
        <is>
          <t>283223/PRS</t>
        </is>
      </c>
      <c r="D5" s="2" t="n">
        <v>8000</v>
      </c>
      <c r="E5" s="3" t="n">
        <v>22473.125</v>
      </c>
      <c r="F5" s="4" t="n">
        <v>11739.386625</v>
      </c>
      <c r="G5" s="3">
        <f>IF(OR(E5="",F5=""),"",E5+F5)</f>
        <v/>
      </c>
      <c r="H5" s="3" t="n">
        <v>40712.88883375</v>
      </c>
      <c r="I5" s="3" t="n">
        <v>101782.222084375</v>
      </c>
      <c r="J5" s="3" t="n">
        <v>109900</v>
      </c>
      <c r="K5" s="3" t="n">
        <v>52641.17647058823</v>
      </c>
      <c r="L5" s="5" t="n">
        <v>0.3500807938037769</v>
      </c>
      <c r="M5" s="3" t="n">
        <v>64480.82352941175</v>
      </c>
      <c r="N5" s="5" t="n">
        <v>0.4694157153654437</v>
      </c>
      <c r="O5" s="3" t="n">
        <v>100625.0341911765</v>
      </c>
      <c r="P5" s="5" t="n">
        <v>0.6599999999999999</v>
      </c>
      <c r="Q5" s="3" t="n">
        <v>78400</v>
      </c>
      <c r="R5" s="5" t="n">
        <v>0.5636159231505102</v>
      </c>
      <c r="S5" s="3" t="n">
        <v>83.2</v>
      </c>
      <c r="T5" s="5" t="n">
        <v>0.8825119793097528</v>
      </c>
      <c r="U5" s="6">
        <f>IF(OR(K5="",E5=""),"",(K5-E5)/K5)</f>
        <v/>
      </c>
      <c r="V5" s="6">
        <f>IF(OR(M5="",E5=""),"",(M5-E5)/M5)</f>
        <v/>
      </c>
      <c r="W5" s="6">
        <f>IF(OR(O5="",E5=""),"",(O5-E5)/O5)</f>
        <v/>
      </c>
      <c r="X5" s="6">
        <f>IF(OR(Q5="",E5=""),"",(Q5-E5)/Q5)</f>
        <v/>
      </c>
      <c r="Y5" s="6">
        <f>IF(OR(S5="",E5=""),"",((S5*3500)-E5)/(S5*3500))</f>
        <v/>
      </c>
      <c r="Z5" s="7" t="n"/>
    </row>
    <row r="6">
      <c r="A6" s="2" t="inlineStr">
        <is>
          <t>ANCIENT</t>
        </is>
      </c>
      <c r="B6" s="2" t="inlineStr">
        <is>
          <t>PRISMA SPORTY ONE PIECE</t>
        </is>
      </c>
      <c r="C6" s="2" t="inlineStr">
        <is>
          <t>283356/PRS</t>
        </is>
      </c>
      <c r="D6" s="2" t="n">
        <v>8000</v>
      </c>
      <c r="E6" s="3" t="n">
        <v>43235.525</v>
      </c>
      <c r="F6" s="4" t="n">
        <v>11739.386625</v>
      </c>
      <c r="G6" s="3">
        <f>IF(OR(E6="",F6=""),"",E6+F6)</f>
        <v/>
      </c>
      <c r="H6" s="3" t="n">
        <v>65420.14483375</v>
      </c>
      <c r="I6" s="3" t="n">
        <v>163550.362084375</v>
      </c>
      <c r="J6" s="3" t="n">
        <v>199900</v>
      </c>
      <c r="K6" s="3" t="n">
        <v>95750.42016806723</v>
      </c>
      <c r="L6" s="5" t="n">
        <v>0.4258520064089062</v>
      </c>
      <c r="M6" s="3" t="n">
        <v>117285.8655462185</v>
      </c>
      <c r="N6" s="5" t="n">
        <v>0.5312741960084166</v>
      </c>
      <c r="O6" s="3" t="n">
        <v>161690.9165441176</v>
      </c>
      <c r="P6" s="5" t="n">
        <v>0.6599999999999999</v>
      </c>
      <c r="Q6" s="3" t="n">
        <v>129850</v>
      </c>
      <c r="R6" s="5" t="n">
        <v>0.5766275577589527</v>
      </c>
      <c r="S6" s="3" t="n">
        <v>137.8</v>
      </c>
      <c r="T6" s="5" t="n">
        <v>0.8860151117043334</v>
      </c>
      <c r="U6" s="6">
        <f>IF(OR(K6="",E6=""),"",(K6-E6)/K6)</f>
        <v/>
      </c>
      <c r="V6" s="6">
        <f>IF(OR(M6="",E6=""),"",(M6-E6)/M6)</f>
        <v/>
      </c>
      <c r="W6" s="6">
        <f>IF(OR(O6="",E6=""),"",(O6-E6)/O6)</f>
        <v/>
      </c>
      <c r="X6" s="6">
        <f>IF(OR(Q6="",E6=""),"",(Q6-E6)/Q6)</f>
        <v/>
      </c>
      <c r="Y6" s="6">
        <f>IF(OR(S6="",E6=""),"",((S6*3500)-E6)/(S6*3500))</f>
        <v/>
      </c>
      <c r="Z6" s="7" t="n"/>
    </row>
    <row r="7">
      <c r="A7" s="2" t="inlineStr">
        <is>
          <t>ANCIENT</t>
        </is>
      </c>
      <c r="B7" s="2" t="inlineStr">
        <is>
          <t>I'M WHITE TRIANGLE TOP</t>
        </is>
      </c>
      <c r="C7" s="2" t="inlineStr">
        <is>
          <t>283135/WHT</t>
        </is>
      </c>
      <c r="D7" s="2" t="n">
        <v>8000</v>
      </c>
      <c r="E7" s="3" t="n">
        <v>28598.525</v>
      </c>
      <c r="F7" s="4" t="n">
        <v>11739.386625</v>
      </c>
      <c r="G7" s="3">
        <f>IF(OR(E7="",F7=""),"",E7+F7)</f>
        <v/>
      </c>
      <c r="H7" s="3" t="n">
        <v>48002.11483375</v>
      </c>
      <c r="I7" s="3" t="n">
        <v>120005.287084375</v>
      </c>
      <c r="J7" s="3" t="n">
        <v>129900</v>
      </c>
      <c r="K7" s="3" t="n">
        <v>62221.00840336135</v>
      </c>
      <c r="L7" s="5" t="n">
        <v>0.3516994876794565</v>
      </c>
      <c r="M7" s="3" t="n">
        <v>76215.27731092437</v>
      </c>
      <c r="N7" s="5" t="n">
        <v>0.4707371927489118</v>
      </c>
      <c r="O7" s="3" t="n">
        <v>118640.9165441176</v>
      </c>
      <c r="P7" s="5" t="n">
        <v>0.6599999999999999</v>
      </c>
      <c r="Q7" s="3" t="n">
        <v>78400</v>
      </c>
      <c r="R7" s="5" t="n">
        <v>0.4854858211096938</v>
      </c>
      <c r="S7" s="3" t="n">
        <v>83.2</v>
      </c>
      <c r="T7" s="5" t="n">
        <v>0.8614769518372253</v>
      </c>
      <c r="U7" s="6">
        <f>IF(OR(K7="",E7=""),"",(K7-E7)/K7)</f>
        <v/>
      </c>
      <c r="V7" s="6">
        <f>IF(OR(M7="",E7=""),"",(M7-E7)/M7)</f>
        <v/>
      </c>
      <c r="W7" s="6">
        <f>IF(OR(O7="",E7=""),"",(O7-E7)/O7)</f>
        <v/>
      </c>
      <c r="X7" s="6">
        <f>IF(OR(Q7="",E7=""),"",(Q7-E7)/Q7)</f>
        <v/>
      </c>
      <c r="Y7" s="6">
        <f>IF(OR(S7="",E7=""),"",((S7*3500)-E7)/(S7*3500))</f>
        <v/>
      </c>
      <c r="Z7" s="7" t="n"/>
    </row>
    <row r="8">
      <c r="A8" s="2" t="inlineStr">
        <is>
          <t>ANCIENT</t>
        </is>
      </c>
      <c r="B8" s="2" t="inlineStr">
        <is>
          <t>I'M WHITE STRAP TIE SIDE BOTTOM</t>
        </is>
      </c>
      <c r="C8" s="2" t="inlineStr">
        <is>
          <t>283236/WHT</t>
        </is>
      </c>
      <c r="D8" s="2" t="n">
        <v>8000</v>
      </c>
      <c r="E8" s="3" t="n">
        <v>26604.9</v>
      </c>
      <c r="F8" s="4" t="n">
        <v>11739.386625</v>
      </c>
      <c r="G8" s="3">
        <f>IF(OR(E8="",F8=""),"",E8+F8)</f>
        <v/>
      </c>
      <c r="H8" s="3" t="n">
        <v>45629.70108375</v>
      </c>
      <c r="I8" s="3" t="n">
        <v>114074.252709375</v>
      </c>
      <c r="J8" s="3" t="n">
        <v>119900</v>
      </c>
      <c r="K8" s="3" t="n">
        <v>57431.09243697478</v>
      </c>
      <c r="L8" s="5" t="n">
        <v>0.33234272590097</v>
      </c>
      <c r="M8" s="3" t="n">
        <v>70348.05042016806</v>
      </c>
      <c r="N8" s="5" t="n">
        <v>0.4549346229784487</v>
      </c>
      <c r="O8" s="3" t="n">
        <v>112777.3136029412</v>
      </c>
      <c r="P8" s="5" t="n">
        <v>0.6599999999999999</v>
      </c>
      <c r="Q8" s="3" t="n">
        <v>78400</v>
      </c>
      <c r="R8" s="5" t="n">
        <v>0.5109147114158163</v>
      </c>
      <c r="S8" s="3" t="n">
        <v>83.2</v>
      </c>
      <c r="T8" s="5" t="n">
        <v>0.8683231915350275</v>
      </c>
      <c r="U8" s="6">
        <f>IF(OR(K8="",E8=""),"",(K8-E8)/K8)</f>
        <v/>
      </c>
      <c r="V8" s="6">
        <f>IF(OR(M8="",E8=""),"",(M8-E8)/M8)</f>
        <v/>
      </c>
      <c r="W8" s="6">
        <f>IF(OR(O8="",E8=""),"",(O8-E8)/O8)</f>
        <v/>
      </c>
      <c r="X8" s="6">
        <f>IF(OR(Q8="",E8=""),"",(Q8-E8)/Q8)</f>
        <v/>
      </c>
      <c r="Y8" s="6">
        <f>IF(OR(S8="",E8=""),"",((S8*3500)-E8)/(S8*3500))</f>
        <v/>
      </c>
      <c r="Z8" s="7" t="n"/>
    </row>
    <row r="9">
      <c r="A9" s="2" t="inlineStr">
        <is>
          <t>ANCIENT</t>
        </is>
      </c>
      <c r="B9" s="2" t="inlineStr">
        <is>
          <t>I'M WHITE KNOTTED BRALETTE TOP</t>
        </is>
      </c>
      <c r="C9" s="2" t="inlineStr">
        <is>
          <t>283179/WHT</t>
        </is>
      </c>
      <c r="D9" s="2" t="n">
        <v>8000</v>
      </c>
      <c r="E9" s="3" t="n">
        <v>38460.5625</v>
      </c>
      <c r="F9" s="4" t="n">
        <v>11739.386625</v>
      </c>
      <c r="G9" s="3">
        <f>IF(OR(E9="",F9=""),"",E9+F9)</f>
        <v/>
      </c>
      <c r="H9" s="3" t="n">
        <v>59737.93945875</v>
      </c>
      <c r="I9" s="3" t="n">
        <v>149344.848646875</v>
      </c>
      <c r="J9" s="3" t="n">
        <v>149900</v>
      </c>
      <c r="K9" s="3" t="n">
        <v>71800.84033613445</v>
      </c>
      <c r="L9" s="5" t="n">
        <v>0.3008445459692426</v>
      </c>
      <c r="M9" s="3" t="n">
        <v>87949.73109243697</v>
      </c>
      <c r="N9" s="5" t="n">
        <v>0.4292199816706793</v>
      </c>
      <c r="O9" s="3" t="n">
        <v>147646.9091911765</v>
      </c>
      <c r="P9" s="5" t="n">
        <v>0.66</v>
      </c>
      <c r="Q9" s="3" t="n">
        <v>88200</v>
      </c>
      <c r="R9" s="5" t="n">
        <v>0.4308395790816327</v>
      </c>
      <c r="S9" s="3" t="n">
        <v>93.60000000000001</v>
      </c>
      <c r="T9" s="5" t="n">
        <v>0.8467645020604396</v>
      </c>
      <c r="U9" s="6">
        <f>IF(OR(K9="",E9=""),"",(K9-E9)/K9)</f>
        <v/>
      </c>
      <c r="V9" s="6">
        <f>IF(OR(M9="",E9=""),"",(M9-E9)/M9)</f>
        <v/>
      </c>
      <c r="W9" s="6">
        <f>IF(OR(O9="",E9=""),"",(O9-E9)/O9)</f>
        <v/>
      </c>
      <c r="X9" s="6">
        <f>IF(OR(Q9="",E9=""),"",(Q9-E9)/Q9)</f>
        <v/>
      </c>
      <c r="Y9" s="6">
        <f>IF(OR(S9="",E9=""),"",((S9*3500)-E9)/(S9*3500))</f>
        <v/>
      </c>
      <c r="Z9" s="7" t="n"/>
    </row>
    <row r="10">
      <c r="A10" s="2" t="inlineStr">
        <is>
          <t>ANCIENT</t>
        </is>
      </c>
      <c r="B10" s="2" t="inlineStr">
        <is>
          <t>I'M WHITE CHEEKY BOTTOM</t>
        </is>
      </c>
      <c r="C10" s="2" t="inlineStr">
        <is>
          <t>283221/WHT</t>
        </is>
      </c>
      <c r="D10" s="2" t="n">
        <v>8000</v>
      </c>
      <c r="E10" s="3" t="n">
        <v>27145.125</v>
      </c>
      <c r="F10" s="4" t="n">
        <v>11739.386625</v>
      </c>
      <c r="G10" s="3">
        <f>IF(OR(E10="",F10=""),"",E10+F10)</f>
        <v/>
      </c>
      <c r="H10" s="3" t="n">
        <v>46272.56883375</v>
      </c>
      <c r="I10" s="3" t="n">
        <v>115681.422084375</v>
      </c>
      <c r="J10" s="3" t="n">
        <v>119900</v>
      </c>
      <c r="K10" s="3" t="n">
        <v>57431.09243697478</v>
      </c>
      <c r="L10" s="5" t="n">
        <v>0.322936235843466</v>
      </c>
      <c r="M10" s="3" t="n">
        <v>70348.05042016806</v>
      </c>
      <c r="N10" s="5" t="n">
        <v>0.4472553056871607</v>
      </c>
      <c r="O10" s="3" t="n">
        <v>114366.2106617647</v>
      </c>
      <c r="P10" s="5" t="n">
        <v>0.6599999999999999</v>
      </c>
      <c r="Q10" s="3" t="n">
        <v>78400</v>
      </c>
      <c r="R10" s="5" t="n">
        <v>0.5040240864158163</v>
      </c>
      <c r="S10" s="3" t="n">
        <v>83.2</v>
      </c>
      <c r="T10" s="5" t="n">
        <v>0.8664680232657967</v>
      </c>
      <c r="U10" s="6">
        <f>IF(OR(K10="",E10=""),"",(K10-E10)/K10)</f>
        <v/>
      </c>
      <c r="V10" s="6">
        <f>IF(OR(M10="",E10=""),"",(M10-E10)/M10)</f>
        <v/>
      </c>
      <c r="W10" s="6">
        <f>IF(OR(O10="",E10=""),"",(O10-E10)/O10)</f>
        <v/>
      </c>
      <c r="X10" s="6">
        <f>IF(OR(Q10="",E10=""),"",(Q10-E10)/Q10)</f>
        <v/>
      </c>
      <c r="Y10" s="6">
        <f>IF(OR(S10="",E10=""),"",((S10*3500)-E10)/(S10*3500))</f>
        <v/>
      </c>
      <c r="Z10" s="7" t="n"/>
    </row>
    <row r="11">
      <c r="A11" s="2" t="inlineStr">
        <is>
          <t>ANCIENT</t>
        </is>
      </c>
      <c r="B11" s="2" t="inlineStr">
        <is>
          <t>I'M WHITE ASYMMETRIC ONE SHOULDER</t>
        </is>
      </c>
      <c r="C11" s="2" t="inlineStr">
        <is>
          <t>283377/WHT</t>
        </is>
      </c>
      <c r="D11" s="2" t="n">
        <v>8000</v>
      </c>
      <c r="E11" s="3" t="n">
        <v>44962.0875</v>
      </c>
      <c r="F11" s="4" t="n">
        <v>11739.386625</v>
      </c>
      <c r="G11" s="3">
        <f>IF(OR(E11="",F11=""),"",E11+F11)</f>
        <v/>
      </c>
      <c r="H11" s="3" t="n">
        <v>67474.75420875</v>
      </c>
      <c r="I11" s="3" t="n">
        <v>168686.885521875</v>
      </c>
      <c r="J11" s="3" t="n">
        <v>199900</v>
      </c>
      <c r="K11" s="3" t="n">
        <v>95750.42016806723</v>
      </c>
      <c r="L11" s="5" t="n">
        <v>0.4078201012019168</v>
      </c>
      <c r="M11" s="3" t="n">
        <v>117285.8655462185</v>
      </c>
      <c r="N11" s="5" t="n">
        <v>0.5165532192567925</v>
      </c>
      <c r="O11" s="3" t="n">
        <v>166769.0415441176</v>
      </c>
      <c r="P11" s="5" t="n">
        <v>0.6599999999999999</v>
      </c>
      <c r="Q11" s="3" t="n">
        <v>137200</v>
      </c>
      <c r="R11" s="5" t="n">
        <v>0.586723949526239</v>
      </c>
      <c r="S11" s="3" t="n">
        <v>145.6</v>
      </c>
      <c r="T11" s="5" t="n">
        <v>0.8887333710262951</v>
      </c>
      <c r="U11" s="6">
        <f>IF(OR(K11="",E11=""),"",(K11-E11)/K11)</f>
        <v/>
      </c>
      <c r="V11" s="6">
        <f>IF(OR(M11="",E11=""),"",(M11-E11)/M11)</f>
        <v/>
      </c>
      <c r="W11" s="6">
        <f>IF(OR(O11="",E11=""),"",(O11-E11)/O11)</f>
        <v/>
      </c>
      <c r="X11" s="6">
        <f>IF(OR(Q11="",E11=""),"",(Q11-E11)/Q11)</f>
        <v/>
      </c>
      <c r="Y11" s="6">
        <f>IF(OR(S11="",E11=""),"",((S11*3500)-E11)/(S11*3500))</f>
        <v/>
      </c>
      <c r="Z11" s="7" t="n"/>
    </row>
    <row r="12">
      <c r="A12" s="2" t="inlineStr">
        <is>
          <t>ANCIENT</t>
        </is>
      </c>
      <c r="B12" s="2" t="inlineStr">
        <is>
          <t>PRISMA PAREO</t>
        </is>
      </c>
      <c r="C12" s="2" t="inlineStr">
        <is>
          <t>28RE22/PRS</t>
        </is>
      </c>
      <c r="D12" s="2" t="n">
        <v>8000</v>
      </c>
      <c r="E12" s="3" t="n">
        <v>31578.17142857143</v>
      </c>
      <c r="F12" s="4" t="n">
        <v>11739.386625</v>
      </c>
      <c r="G12" s="3">
        <f>IF(OR(E12="",F12=""),"",E12+F12)</f>
        <v/>
      </c>
      <c r="H12" s="3" t="n">
        <v>51547.89408374999</v>
      </c>
      <c r="I12" s="3" t="n">
        <v>128869.735209375</v>
      </c>
      <c r="J12" s="3" t="n">
        <v>139900</v>
      </c>
      <c r="K12" s="3" t="n">
        <v>67010.9243697479</v>
      </c>
      <c r="L12" s="5" t="n">
        <v>0.3535746826210451</v>
      </c>
      <c r="M12" s="3" t="n">
        <v>82082.50420168067</v>
      </c>
      <c r="N12" s="5" t="n">
        <v>0.4722680737525004</v>
      </c>
      <c r="O12" s="3" t="n">
        <v>127404.5825105042</v>
      </c>
      <c r="P12" s="5" t="n">
        <v>0.66</v>
      </c>
      <c r="Q12" s="3" t="n">
        <v>88200</v>
      </c>
      <c r="R12" s="5" t="n">
        <v>0.5088712238824101</v>
      </c>
      <c r="S12" s="3" t="n">
        <v>93.60000000000001</v>
      </c>
      <c r="T12" s="5" t="n">
        <v>0.867773021814495</v>
      </c>
      <c r="U12" s="6">
        <f>IF(OR(K12="",E12=""),"",(K12-E12)/K12)</f>
        <v/>
      </c>
      <c r="V12" s="6">
        <f>IF(OR(M12="",E12=""),"",(M12-E12)/M12)</f>
        <v/>
      </c>
      <c r="W12" s="6">
        <f>IF(OR(O12="",E12=""),"",(O12-E12)/O12)</f>
        <v/>
      </c>
      <c r="X12" s="6">
        <f>IF(OR(Q12="",E12=""),"",(Q12-E12)/Q12)</f>
        <v/>
      </c>
      <c r="Y12" s="6">
        <f>IF(OR(S12="",E12=""),"",((S12*3500)-E12)/(S12*3500))</f>
        <v/>
      </c>
      <c r="Z12" s="7" t="n"/>
    </row>
    <row r="13">
      <c r="A13" s="2" t="inlineStr">
        <is>
          <t>ANCIENT</t>
        </is>
      </c>
      <c r="B13" s="2" t="inlineStr">
        <is>
          <t>PRISMA HEADKERCHIEF</t>
        </is>
      </c>
      <c r="C13" s="2" t="inlineStr">
        <is>
          <t>28KE21/PRS</t>
        </is>
      </c>
      <c r="D13" s="2" t="n">
        <v>8000</v>
      </c>
      <c r="E13" s="3" t="n">
        <v>19794.12</v>
      </c>
      <c r="F13" s="4" t="n">
        <v>3159.75</v>
      </c>
      <c r="G13" s="3">
        <f>IF(OR(E13="",F13=""),"",E13+F13)</f>
        <v/>
      </c>
      <c r="H13" s="3" t="n">
        <v>27315.1053</v>
      </c>
      <c r="I13" s="3" t="n">
        <v>68287.76324999999</v>
      </c>
      <c r="J13" s="3" t="n">
        <v>59900</v>
      </c>
      <c r="K13" s="3" t="n">
        <v>28691.59663865546</v>
      </c>
      <c r="L13" s="5" t="n">
        <v>0.1999793427642562</v>
      </c>
      <c r="M13" s="3" t="n">
        <v>35144.68907563025</v>
      </c>
      <c r="N13" s="5" t="n">
        <v>0.3468751437634289</v>
      </c>
      <c r="O13" s="3" t="n">
        <v>67511.38235294117</v>
      </c>
      <c r="P13" s="5" t="n">
        <v>0.66</v>
      </c>
      <c r="Q13" s="3" t="n">
        <v>39200</v>
      </c>
      <c r="R13" s="5" t="n">
        <v>0.4144420918367347</v>
      </c>
      <c r="S13" s="3" t="n">
        <v>41.6</v>
      </c>
      <c r="T13" s="5" t="n">
        <v>0.842349793956044</v>
      </c>
      <c r="U13" s="6">
        <f>IF(OR(K13="",E13=""),"",(K13-E13)/K13)</f>
        <v/>
      </c>
      <c r="V13" s="6">
        <f>IF(OR(M13="",E13=""),"",(M13-E13)/M13)</f>
        <v/>
      </c>
      <c r="W13" s="6">
        <f>IF(OR(O13="",E13=""),"",(O13-E13)/O13)</f>
        <v/>
      </c>
      <c r="X13" s="6">
        <f>IF(OR(Q13="",E13=""),"",(Q13-E13)/Q13)</f>
        <v/>
      </c>
      <c r="Y13" s="6">
        <f>IF(OR(S13="",E13=""),"",((S13*3500)-E13)/(S13*3500))</f>
        <v/>
      </c>
      <c r="Z13" s="7" t="n"/>
    </row>
    <row r="14">
      <c r="A14" s="2" t="inlineStr">
        <is>
          <t>ANCIENT</t>
        </is>
      </c>
      <c r="B14" s="2" t="inlineStr">
        <is>
          <t>PRISMA MESH SHIRT</t>
        </is>
      </c>
      <c r="C14" s="2" t="inlineStr">
        <is>
          <t>28CA36/PRS</t>
        </is>
      </c>
      <c r="D14" s="2" t="n">
        <v>8000</v>
      </c>
      <c r="E14" s="3" t="n">
        <v>32455.55913978495</v>
      </c>
      <c r="F14" s="4" t="n">
        <v>11739.386625</v>
      </c>
      <c r="G14" s="3">
        <f>IF(OR(E14="",F14=""),"",E14+F14)</f>
        <v/>
      </c>
      <c r="H14" s="3" t="n">
        <v>52591.98546009409</v>
      </c>
      <c r="I14" s="3" t="n">
        <v>131479.9636502352</v>
      </c>
      <c r="J14" s="3" t="n">
        <v>129900</v>
      </c>
      <c r="K14" s="3" t="n">
        <v>62221.00840336135</v>
      </c>
      <c r="L14" s="5" t="n">
        <v>0.2897102297301016</v>
      </c>
      <c r="M14" s="3" t="n">
        <v>76215.27731092437</v>
      </c>
      <c r="N14" s="5" t="n">
        <v>0.4201300930194184</v>
      </c>
      <c r="O14" s="3" t="n">
        <v>129985.1346023087</v>
      </c>
      <c r="P14" s="5" t="n">
        <v>0.66</v>
      </c>
      <c r="Q14" s="3" t="n">
        <v>95549.99999999999</v>
      </c>
      <c r="R14" s="5" t="n">
        <v>0.5374678622209842</v>
      </c>
      <c r="S14" s="3" t="n">
        <v>101.4</v>
      </c>
      <c r="T14" s="5" t="n">
        <v>0.8754721167518035</v>
      </c>
      <c r="U14" s="6">
        <f>IF(OR(K14="",E14=""),"",(K14-E14)/K14)</f>
        <v/>
      </c>
      <c r="V14" s="6">
        <f>IF(OR(M14="",E14=""),"",(M14-E14)/M14)</f>
        <v/>
      </c>
      <c r="W14" s="6">
        <f>IF(OR(O14="",E14=""),"",(O14-E14)/O14)</f>
        <v/>
      </c>
      <c r="X14" s="6">
        <f>IF(OR(Q14="",E14=""),"",(Q14-E14)/Q14)</f>
        <v/>
      </c>
      <c r="Y14" s="6">
        <f>IF(OR(S14="",E14=""),"",((S14*3500)-E14)/(S14*3500))</f>
        <v/>
      </c>
      <c r="Z14" s="7" t="n"/>
    </row>
    <row r="15">
      <c r="A15" s="2" t="inlineStr">
        <is>
          <t>ANCIENT</t>
        </is>
      </c>
      <c r="B15" s="2" t="inlineStr">
        <is>
          <t>PRISMA MESH CLASSIC LONG SHIRT</t>
        </is>
      </c>
      <c r="C15" s="2" t="inlineStr">
        <is>
          <t>28CA40/PRS</t>
        </is>
      </c>
      <c r="D15" s="2" t="n">
        <v>8000</v>
      </c>
      <c r="E15" s="3" t="n">
        <v>43583.19166666667</v>
      </c>
      <c r="F15" s="4" t="n">
        <v>11739.386625</v>
      </c>
      <c r="G15" s="3">
        <f>IF(OR(E15="",F15=""),"",E15+F15)</f>
        <v/>
      </c>
      <c r="H15" s="3" t="n">
        <v>65833.86816708333</v>
      </c>
      <c r="I15" s="3" t="n">
        <v>164584.6704177083</v>
      </c>
      <c r="J15" s="3" t="n">
        <v>159900</v>
      </c>
      <c r="K15" s="3" t="n">
        <v>76590.75630252101</v>
      </c>
      <c r="L15" s="5" t="n">
        <v>0.2776859641762578</v>
      </c>
      <c r="M15" s="3" t="n">
        <v>93816.95798319328</v>
      </c>
      <c r="N15" s="5" t="n">
        <v>0.4103136631057963</v>
      </c>
      <c r="O15" s="3" t="n">
        <v>162713.4655637255</v>
      </c>
      <c r="P15" s="5" t="n">
        <v>0.66</v>
      </c>
      <c r="Q15" s="3" t="n">
        <v>107800</v>
      </c>
      <c r="R15" s="5" t="n">
        <v>0.4868035408936301</v>
      </c>
      <c r="S15" s="3" t="n">
        <v>114.4</v>
      </c>
      <c r="T15" s="5" t="n">
        <v>0.861831722548285</v>
      </c>
      <c r="U15" s="6">
        <f>IF(OR(K15="",E15=""),"",(K15-E15)/K15)</f>
        <v/>
      </c>
      <c r="V15" s="6">
        <f>IF(OR(M15="",E15=""),"",(M15-E15)/M15)</f>
        <v/>
      </c>
      <c r="W15" s="6">
        <f>IF(OR(O15="",E15=""),"",(O15-E15)/O15)</f>
        <v/>
      </c>
      <c r="X15" s="6">
        <f>IF(OR(Q15="",E15=""),"",(Q15-E15)/Q15)</f>
        <v/>
      </c>
      <c r="Y15" s="6">
        <f>IF(OR(S15="",E15=""),"",((S15*3500)-E15)/(S15*3500))</f>
        <v/>
      </c>
      <c r="Z15" s="7" t="n"/>
    </row>
    <row r="16">
      <c r="A16" s="2" t="inlineStr">
        <is>
          <t>ANCIENT</t>
        </is>
      </c>
      <c r="B16" s="2" t="inlineStr">
        <is>
          <t>PRISMA T-SHIRT</t>
        </is>
      </c>
      <c r="C16" s="2" t="inlineStr">
        <is>
          <t>28TSH20/PRS</t>
        </is>
      </c>
      <c r="D16" s="2" t="n">
        <v>8000</v>
      </c>
      <c r="E16" s="3" t="n">
        <v>28862.74509803922</v>
      </c>
      <c r="F16" s="4" t="n">
        <v>11739.386625</v>
      </c>
      <c r="G16" s="3">
        <f>IF(OR(E16="",F16=""),"",E16+F16)</f>
        <v/>
      </c>
      <c r="H16" s="3" t="n">
        <v>48316.53675041666</v>
      </c>
      <c r="I16" s="3" t="n">
        <v>120791.3418760417</v>
      </c>
      <c r="J16" s="3" t="n">
        <v>129900</v>
      </c>
      <c r="K16" s="3" t="n">
        <v>62221.00840336135</v>
      </c>
      <c r="L16" s="5" t="n">
        <v>0.3474530104072409</v>
      </c>
      <c r="M16" s="3" t="n">
        <v>76215.27731092437</v>
      </c>
      <c r="N16" s="5" t="n">
        <v>0.4672704324436083</v>
      </c>
      <c r="O16" s="3" t="n">
        <v>119418.0344795271</v>
      </c>
      <c r="P16" s="5" t="n">
        <v>0.6599999999999999</v>
      </c>
      <c r="Q16" s="3" t="n">
        <v>83299.99999999999</v>
      </c>
      <c r="R16" s="5" t="n">
        <v>0.512579451103971</v>
      </c>
      <c r="S16" s="3" t="n">
        <v>88.40000000000001</v>
      </c>
      <c r="T16" s="5" t="n">
        <v>0.8687713906818384</v>
      </c>
      <c r="U16" s="6">
        <f>IF(OR(K16="",E16=""),"",(K16-E16)/K16)</f>
        <v/>
      </c>
      <c r="V16" s="6">
        <f>IF(OR(M16="",E16=""),"",(M16-E16)/M16)</f>
        <v/>
      </c>
      <c r="W16" s="6">
        <f>IF(OR(O16="",E16=""),"",(O16-E16)/O16)</f>
        <v/>
      </c>
      <c r="X16" s="6">
        <f>IF(OR(Q16="",E16=""),"",(Q16-E16)/Q16)</f>
        <v/>
      </c>
      <c r="Y16" s="6">
        <f>IF(OR(S16="",E16=""),"",((S16*3500)-E16)/(S16*3500))</f>
        <v/>
      </c>
      <c r="Z16" s="7" t="n"/>
    </row>
    <row r="17">
      <c r="A17" s="2" t="inlineStr">
        <is>
          <t>ANCIENT</t>
        </is>
      </c>
      <c r="B17" s="2" t="inlineStr">
        <is>
          <t>PRISMA MESH DRESS</t>
        </is>
      </c>
      <c r="C17" s="2" t="inlineStr">
        <is>
          <t>28VE32/PRS</t>
        </is>
      </c>
      <c r="D17" s="2" t="n">
        <v>8000</v>
      </c>
      <c r="E17" s="3" t="n">
        <v>50498.71999999999</v>
      </c>
      <c r="F17" s="4" t="n">
        <v>11739.386625</v>
      </c>
      <c r="G17" s="3">
        <f>IF(OR(E17="",F17=""),"",E17+F17)</f>
        <v/>
      </c>
      <c r="H17" s="3" t="n">
        <v>74063.34688374998</v>
      </c>
      <c r="I17" s="3" t="n">
        <v>185158.367209375</v>
      </c>
      <c r="J17" s="3" t="n">
        <v>179900</v>
      </c>
      <c r="K17" s="3" t="n">
        <v>86170.58823529411</v>
      </c>
      <c r="L17" s="5" t="n">
        <v>0.2777337616048877</v>
      </c>
      <c r="M17" s="3" t="n">
        <v>105551.4117647059</v>
      </c>
      <c r="N17" s="5" t="n">
        <v>0.4103526842090891</v>
      </c>
      <c r="O17" s="3" t="n">
        <v>183053.2547794117</v>
      </c>
      <c r="P17" s="5" t="n">
        <v>0.66</v>
      </c>
      <c r="Q17" s="3" t="n">
        <v>120050</v>
      </c>
      <c r="R17" s="5" t="n">
        <v>0.4815651259891712</v>
      </c>
      <c r="S17" s="3" t="n">
        <v>127.4</v>
      </c>
      <c r="T17" s="5" t="n">
        <v>0.8604213800740076</v>
      </c>
      <c r="U17" s="6">
        <f>IF(OR(K17="",E17=""),"",(K17-E17)/K17)</f>
        <v/>
      </c>
      <c r="V17" s="6">
        <f>IF(OR(M17="",E17=""),"",(M17-E17)/M17)</f>
        <v/>
      </c>
      <c r="W17" s="6">
        <f>IF(OR(O17="",E17=""),"",(O17-E17)/O17)</f>
        <v/>
      </c>
      <c r="X17" s="6">
        <f>IF(OR(Q17="",E17=""),"",(Q17-E17)/Q17)</f>
        <v/>
      </c>
      <c r="Y17" s="6">
        <f>IF(OR(S17="",E17=""),"",((S17*3500)-E17)/(S17*3500))</f>
        <v/>
      </c>
      <c r="Z17" s="7" t="n"/>
    </row>
    <row r="18">
      <c r="A18" s="2" t="inlineStr">
        <is>
          <t>ANCIENT</t>
        </is>
      </c>
      <c r="B18" s="2" t="inlineStr">
        <is>
          <t>PRISMA SLEEP SHORT SLEEVELESS SHIRT</t>
        </is>
      </c>
      <c r="C18" s="2" t="inlineStr">
        <is>
          <t>284125/PRS</t>
        </is>
      </c>
      <c r="D18" s="2" t="n">
        <v>8000</v>
      </c>
      <c r="E18" s="3" t="n">
        <v>20575.8083333333</v>
      </c>
      <c r="F18" s="4" t="n">
        <v>11739.386625</v>
      </c>
      <c r="G18" s="3">
        <f>IF(OR(E18="",F18=""),"",E18+F18)</f>
        <v/>
      </c>
      <c r="H18" s="3" t="n">
        <v>38455.08200041662</v>
      </c>
      <c r="I18" s="3" t="n">
        <v>96137.70500104156</v>
      </c>
      <c r="J18" s="3" t="n">
        <v>89950</v>
      </c>
      <c r="K18" s="3" t="n">
        <v>43085.29411764706</v>
      </c>
      <c r="L18" s="5" t="n">
        <v>0.2499715826450049</v>
      </c>
      <c r="M18" s="3" t="n">
        <v>52775.70588235294</v>
      </c>
      <c r="N18" s="5" t="n">
        <v>0.3876880580172627</v>
      </c>
      <c r="O18" s="3" t="n">
        <v>95044.69105392147</v>
      </c>
      <c r="P18" s="5" t="n">
        <v>0.6599999999999999</v>
      </c>
      <c r="Q18" s="3" t="n">
        <v>39200</v>
      </c>
      <c r="R18" s="5" t="n">
        <v>0.1756327816751709</v>
      </c>
      <c r="S18" s="3" t="n">
        <v>41.6</v>
      </c>
      <c r="T18" s="5" t="n">
        <v>0.7780549796817767</v>
      </c>
      <c r="U18" s="6">
        <f>IF(OR(K18="",E18=""),"",(K18-E18)/K18)</f>
        <v/>
      </c>
      <c r="V18" s="6">
        <f>IF(OR(M18="",E18=""),"",(M18-E18)/M18)</f>
        <v/>
      </c>
      <c r="W18" s="6">
        <f>IF(OR(O18="",E18=""),"",(O18-E18)/O18)</f>
        <v/>
      </c>
      <c r="X18" s="6">
        <f>IF(OR(Q18="",E18=""),"",(Q18-E18)/Q18)</f>
        <v/>
      </c>
      <c r="Y18" s="6">
        <f>IF(OR(S18="",E18=""),"",((S18*3500)-E18)/(S18*3500))</f>
        <v/>
      </c>
      <c r="Z18" s="7" t="n"/>
    </row>
    <row r="19">
      <c r="A19" s="2" t="inlineStr">
        <is>
          <t>ANCIENT</t>
        </is>
      </c>
      <c r="B19" s="2" t="inlineStr">
        <is>
          <t>PRISMA SLEEP SHORT</t>
        </is>
      </c>
      <c r="C19" s="2" t="inlineStr">
        <is>
          <t>284222/PRS</t>
        </is>
      </c>
      <c r="D19" s="2" t="n">
        <v>8000</v>
      </c>
      <c r="E19" s="3" t="n">
        <v>20575.8083333333</v>
      </c>
      <c r="F19" s="4" t="n">
        <v>11739.386625</v>
      </c>
      <c r="G19" s="3">
        <f>IF(OR(E19="",F19=""),"",E19+F19)</f>
        <v/>
      </c>
      <c r="H19" s="3" t="n">
        <v>38455.08200041662</v>
      </c>
      <c r="I19" s="3" t="n">
        <v>96137.70500104156</v>
      </c>
      <c r="J19" s="3" t="n">
        <v>89950</v>
      </c>
      <c r="K19" s="3" t="n">
        <v>43085.29411764706</v>
      </c>
      <c r="L19" s="5" t="n">
        <v>0.2499715826450049</v>
      </c>
      <c r="M19" s="3" t="n">
        <v>52775.70588235294</v>
      </c>
      <c r="N19" s="5" t="n">
        <v>0.3876880580172627</v>
      </c>
      <c r="O19" s="3" t="n">
        <v>95044.69105392147</v>
      </c>
      <c r="P19" s="5" t="n">
        <v>0.6599999999999999</v>
      </c>
      <c r="Q19" s="3" t="n">
        <v>39200</v>
      </c>
      <c r="R19" s="5" t="n">
        <v>0.1756327816751709</v>
      </c>
      <c r="S19" s="3" t="n">
        <v>41.6</v>
      </c>
      <c r="T19" s="5" t="n">
        <v>0.7780549796817767</v>
      </c>
      <c r="U19" s="6">
        <f>IF(OR(K19="",E19=""),"",(K19-E19)/K19)</f>
        <v/>
      </c>
      <c r="V19" s="6">
        <f>IF(OR(M19="",E19=""),"",(M19-E19)/M19)</f>
        <v/>
      </c>
      <c r="W19" s="6">
        <f>IF(OR(O19="",E19=""),"",(O19-E19)/O19)</f>
        <v/>
      </c>
      <c r="X19" s="6">
        <f>IF(OR(Q19="",E19=""),"",(Q19-E19)/Q19)</f>
        <v/>
      </c>
      <c r="Y19" s="6">
        <f>IF(OR(S19="",E19=""),"",((S19*3500)-E19)/(S19*3500))</f>
        <v/>
      </c>
      <c r="Z19" s="7" t="n"/>
    </row>
    <row r="20">
      <c r="A20" s="2" t="inlineStr">
        <is>
          <t>ANCIENT</t>
        </is>
      </c>
      <c r="B20" s="2" t="inlineStr">
        <is>
          <t>I'M WHITE MESH KNIT SHIRT</t>
        </is>
      </c>
      <c r="C20" s="2" t="inlineStr">
        <is>
          <t>28CA37/WHT</t>
        </is>
      </c>
      <c r="D20" s="2" t="n">
        <v>8000</v>
      </c>
      <c r="E20" s="3" t="n"/>
      <c r="F20" s="4" t="n">
        <v>11739.386625</v>
      </c>
      <c r="G20" s="3">
        <f>IF(OR(E20="",F20=""),"",E20+F20)</f>
        <v/>
      </c>
      <c r="H20" s="3" t="n">
        <v>13969.87008375</v>
      </c>
      <c r="I20" s="3" t="n">
        <v>34924.675209375</v>
      </c>
      <c r="J20" s="3" t="n">
        <v>99950</v>
      </c>
      <c r="K20" s="3" t="n">
        <v>47875.21008403361</v>
      </c>
      <c r="L20" s="5" t="n">
        <v>0.7547919559121666</v>
      </c>
      <c r="M20" s="3" t="n">
        <v>58642.93277310924</v>
      </c>
      <c r="N20" s="5" t="n">
        <v>0.7998158333857562</v>
      </c>
      <c r="O20" s="3" t="n">
        <v>34527.60772058823</v>
      </c>
      <c r="P20" s="5" t="n">
        <v>0.66</v>
      </c>
      <c r="Q20" s="3" t="n">
        <v>83299.99999999999</v>
      </c>
      <c r="R20" s="5" t="n">
        <v>0.8590709888955582</v>
      </c>
      <c r="S20" s="3" t="n">
        <v>88.40000000000001</v>
      </c>
      <c r="T20" s="5" t="n">
        <v>0.9620575739334196</v>
      </c>
      <c r="U20" s="6">
        <f>IF(OR(K20="",E20=""),"",(K20-E20)/K20)</f>
        <v/>
      </c>
      <c r="V20" s="6">
        <f>IF(OR(M20="",E20=""),"",(M20-E20)/M20)</f>
        <v/>
      </c>
      <c r="W20" s="6">
        <f>IF(OR(O20="",E20=""),"",(O20-E20)/O20)</f>
        <v/>
      </c>
      <c r="X20" s="6">
        <f>IF(OR(Q20="",E20=""),"",(Q20-E20)/Q20)</f>
        <v/>
      </c>
      <c r="Y20" s="6">
        <f>IF(OR(S20="",E20=""),"",((S20*3500)-E20)/(S20*3500))</f>
        <v/>
      </c>
      <c r="Z20" s="8" t="inlineStr">
        <is>
          <t>Falta costo directo (COSTO PRODUCTO) en el archivo original — ya venía como #DIV/0! ahí</t>
        </is>
      </c>
    </row>
    <row r="21">
      <c r="A21" s="2" t="inlineStr">
        <is>
          <t>ANCIENT</t>
        </is>
      </c>
      <c r="B21" s="2" t="inlineStr">
        <is>
          <t>I'M WHITE MESH KNIT PANTS</t>
        </is>
      </c>
      <c r="C21" s="2" t="inlineStr">
        <is>
          <t>28PA26/WHT</t>
        </is>
      </c>
      <c r="D21" s="2" t="n">
        <v>8000</v>
      </c>
      <c r="E21" s="3" t="n"/>
      <c r="F21" s="4" t="n">
        <v>11739.386625</v>
      </c>
      <c r="G21" s="3">
        <f>IF(OR(E21="",F21=""),"",E21+F21)</f>
        <v/>
      </c>
      <c r="H21" s="3" t="n">
        <v>13969.87008375</v>
      </c>
      <c r="I21" s="3" t="n">
        <v>34924.675209375</v>
      </c>
      <c r="J21" s="3" t="n">
        <v>89950</v>
      </c>
      <c r="K21" s="3" t="n">
        <v>43085.29411764706</v>
      </c>
      <c r="L21" s="5" t="n">
        <v>0.727531472967438</v>
      </c>
      <c r="M21" s="3" t="n">
        <v>52775.70588235294</v>
      </c>
      <c r="N21" s="5" t="n">
        <v>0.7775607842902316</v>
      </c>
      <c r="O21" s="3" t="n">
        <v>34527.60772058823</v>
      </c>
      <c r="P21" s="5" t="n">
        <v>0.66</v>
      </c>
      <c r="Q21" s="3" t="n">
        <v>93099.99999999999</v>
      </c>
      <c r="R21" s="5" t="n">
        <v>0.8739056216433941</v>
      </c>
      <c r="S21" s="3" t="n">
        <v>98.8</v>
      </c>
      <c r="T21" s="5" t="n">
        <v>0.9660515135193755</v>
      </c>
      <c r="U21" s="6">
        <f>IF(OR(K21="",E21=""),"",(K21-E21)/K21)</f>
        <v/>
      </c>
      <c r="V21" s="6">
        <f>IF(OR(M21="",E21=""),"",(M21-E21)/M21)</f>
        <v/>
      </c>
      <c r="W21" s="6">
        <f>IF(OR(O21="",E21=""),"",(O21-E21)/O21)</f>
        <v/>
      </c>
      <c r="X21" s="6">
        <f>IF(OR(Q21="",E21=""),"",(Q21-E21)/Q21)</f>
        <v/>
      </c>
      <c r="Y21" s="6">
        <f>IF(OR(S21="",E21=""),"",((S21*3500)-E21)/(S21*3500))</f>
        <v/>
      </c>
      <c r="Z21" s="8" t="inlineStr">
        <is>
          <t>Falta costo directo (COSTO PRODUCTO) en el archivo original — ya venía como #DIV/0! ahí</t>
        </is>
      </c>
    </row>
    <row r="22">
      <c r="A22" s="2" t="inlineStr">
        <is>
          <t>ANCIENT</t>
        </is>
      </c>
      <c r="B22" s="2" t="inlineStr">
        <is>
          <t>I'M WHITE LARGE RUFFLE PAREO</t>
        </is>
      </c>
      <c r="C22" s="2" t="inlineStr">
        <is>
          <t>28RE25/WHT</t>
        </is>
      </c>
      <c r="D22" s="2" t="n">
        <v>8000</v>
      </c>
      <c r="E22" s="3" t="n"/>
      <c r="F22" s="4" t="n">
        <v>11739.386625</v>
      </c>
      <c r="G22" s="3">
        <f>IF(OR(E22="",F22=""),"",E22+F22)</f>
        <v/>
      </c>
      <c r="H22" s="3" t="n">
        <v>13969.87008375</v>
      </c>
      <c r="I22" s="3" t="n">
        <v>34924.675209375</v>
      </c>
      <c r="J22" s="3" t="n">
        <v>169900</v>
      </c>
      <c r="K22" s="3" t="n">
        <v>81380.67226890755</v>
      </c>
      <c r="L22" s="5" t="n">
        <v>0.8557472395139556</v>
      </c>
      <c r="M22" s="3" t="n">
        <v>99684.18487394958</v>
      </c>
      <c r="N22" s="5" t="n">
        <v>0.8822342115768471</v>
      </c>
      <c r="O22" s="3" t="n">
        <v>34527.60772058823</v>
      </c>
      <c r="P22" s="5" t="n">
        <v>0.66</v>
      </c>
      <c r="Q22" s="3" t="n">
        <v>98000</v>
      </c>
      <c r="R22" s="5" t="n">
        <v>0.8802103405612245</v>
      </c>
      <c r="S22" s="3" t="n">
        <v>104</v>
      </c>
      <c r="T22" s="5" t="n">
        <v>0.9677489378434067</v>
      </c>
      <c r="U22" s="6">
        <f>IF(OR(K22="",E22=""),"",(K22-E22)/K22)</f>
        <v/>
      </c>
      <c r="V22" s="6">
        <f>IF(OR(M22="",E22=""),"",(M22-E22)/M22)</f>
        <v/>
      </c>
      <c r="W22" s="6">
        <f>IF(OR(O22="",E22=""),"",(O22-E22)/O22)</f>
        <v/>
      </c>
      <c r="X22" s="6">
        <f>IF(OR(Q22="",E22=""),"",(Q22-E22)/Q22)</f>
        <v/>
      </c>
      <c r="Y22" s="6">
        <f>IF(OR(S22="",E22=""),"",((S22*3500)-E22)/(S22*3500))</f>
        <v/>
      </c>
      <c r="Z22" s="8" t="inlineStr">
        <is>
          <t>Falta costo directo (COSTO PRODUCTO) en el archivo original — ya venía como #DIV/0! ahí</t>
        </is>
      </c>
    </row>
    <row r="23">
      <c r="A23" s="2" t="inlineStr">
        <is>
          <t>ANCIENT</t>
        </is>
      </c>
      <c r="B23" s="2" t="inlineStr">
        <is>
          <t>AMULETO TRIANGLE TOP</t>
        </is>
      </c>
      <c r="C23" s="2" t="inlineStr">
        <is>
          <t>283135/AMLT</t>
        </is>
      </c>
      <c r="D23" s="2" t="n">
        <v>8000</v>
      </c>
      <c r="E23" s="3" t="n">
        <v>30776.65</v>
      </c>
      <c r="F23" s="4" t="n">
        <v>11739.386625</v>
      </c>
      <c r="G23" s="3">
        <f>IF(OR(E23="",F23=""),"",E23+F23)</f>
        <v/>
      </c>
      <c r="H23" s="3" t="n">
        <v>50594.08358375</v>
      </c>
      <c r="I23" s="3" t="n">
        <v>126485.208959375</v>
      </c>
      <c r="J23" s="3" t="n">
        <v>129900</v>
      </c>
      <c r="K23" s="3" t="n">
        <v>62221.00840336135</v>
      </c>
      <c r="L23" s="5" t="n">
        <v>0.3166932244270221</v>
      </c>
      <c r="M23" s="3" t="n">
        <v>76215.27731092437</v>
      </c>
      <c r="N23" s="5" t="n">
        <v>0.4421586048745383</v>
      </c>
      <c r="O23" s="3" t="n">
        <v>125047.1665441176</v>
      </c>
      <c r="P23" s="5" t="n">
        <v>0.6599999999999999</v>
      </c>
      <c r="Q23" s="3" t="n">
        <v>78400</v>
      </c>
      <c r="R23" s="5" t="n">
        <v>0.4577036144770408</v>
      </c>
      <c r="S23" s="3" t="n">
        <v>83.2</v>
      </c>
      <c r="T23" s="5" t="n">
        <v>0.8539971269745879</v>
      </c>
      <c r="U23" s="6">
        <f>IF(OR(K23="",E23=""),"",(K23-E23)/K23)</f>
        <v/>
      </c>
      <c r="V23" s="6">
        <f>IF(OR(M23="",E23=""),"",(M23-E23)/M23)</f>
        <v/>
      </c>
      <c r="W23" s="6">
        <f>IF(OR(O23="",E23=""),"",(O23-E23)/O23)</f>
        <v/>
      </c>
      <c r="X23" s="6">
        <f>IF(OR(Q23="",E23=""),"",(Q23-E23)/Q23)</f>
        <v/>
      </c>
      <c r="Y23" s="6">
        <f>IF(OR(S23="",E23=""),"",((S23*3500)-E23)/(S23*3500))</f>
        <v/>
      </c>
      <c r="Z23" s="7" t="n"/>
    </row>
    <row r="24">
      <c r="A24" s="2" t="inlineStr">
        <is>
          <t>ANCIENT</t>
        </is>
      </c>
      <c r="B24" s="2" t="inlineStr">
        <is>
          <t>AMULETO STRAP TIE SIDE BOTTOM</t>
        </is>
      </c>
      <c r="C24" s="2" t="inlineStr">
        <is>
          <t>283236/AMLT</t>
        </is>
      </c>
      <c r="D24" s="2" t="n">
        <v>8000</v>
      </c>
      <c r="E24" s="3" t="n">
        <v>28958.3</v>
      </c>
      <c r="F24" s="4" t="n">
        <v>11739.386625</v>
      </c>
      <c r="G24" s="3">
        <f>IF(OR(E24="",F24=""),"",E24+F24)</f>
        <v/>
      </c>
      <c r="H24" s="3" t="n">
        <v>48430.24708375</v>
      </c>
      <c r="I24" s="3" t="n">
        <v>121075.617709375</v>
      </c>
      <c r="J24" s="3" t="n">
        <v>119900</v>
      </c>
      <c r="K24" s="3" t="n">
        <v>57431.09243697478</v>
      </c>
      <c r="L24" s="5" t="n">
        <v>0.2913649227609263</v>
      </c>
      <c r="M24" s="3" t="n">
        <v>70348.05042016806</v>
      </c>
      <c r="N24" s="5" t="n">
        <v>0.4214809595727987</v>
      </c>
      <c r="O24" s="3" t="n">
        <v>119699.0783088235</v>
      </c>
      <c r="P24" s="5" t="n">
        <v>0.66</v>
      </c>
      <c r="Q24" s="3" t="n">
        <v>78400</v>
      </c>
      <c r="R24" s="5" t="n">
        <v>0.4808968542729591</v>
      </c>
      <c r="S24" s="3" t="n">
        <v>83.2</v>
      </c>
      <c r="T24" s="5" t="n">
        <v>0.8602414607657967</v>
      </c>
      <c r="U24" s="6">
        <f>IF(OR(K24="",E24=""),"",(K24-E24)/K24)</f>
        <v/>
      </c>
      <c r="V24" s="6">
        <f>IF(OR(M24="",E24=""),"",(M24-E24)/M24)</f>
        <v/>
      </c>
      <c r="W24" s="6">
        <f>IF(OR(O24="",E24=""),"",(O24-E24)/O24)</f>
        <v/>
      </c>
      <c r="X24" s="6">
        <f>IF(OR(Q24="",E24=""),"",(Q24-E24)/Q24)</f>
        <v/>
      </c>
      <c r="Y24" s="6">
        <f>IF(OR(S24="",E24=""),"",((S24*3500)-E24)/(S24*3500))</f>
        <v/>
      </c>
      <c r="Z24" s="7" t="n"/>
    </row>
    <row r="25">
      <c r="A25" s="2" t="inlineStr">
        <is>
          <t>ANCIENT</t>
        </is>
      </c>
      <c r="B25" s="2" t="inlineStr">
        <is>
          <t>AMULETO SPORTY ONE PIECE</t>
        </is>
      </c>
      <c r="C25" s="2" t="inlineStr">
        <is>
          <t>283356/AMLT</t>
        </is>
      </c>
      <c r="D25" s="2" t="n">
        <v>8000</v>
      </c>
      <c r="E25" s="3" t="n">
        <v>53036.575</v>
      </c>
      <c r="F25" s="4" t="n">
        <v>11739.386625</v>
      </c>
      <c r="G25" s="3">
        <f>IF(OR(E25="",F25=""),"",E25+F25)</f>
        <v/>
      </c>
      <c r="H25" s="3" t="n">
        <v>77083.39433374999</v>
      </c>
      <c r="I25" s="3" t="n">
        <v>192708.485834375</v>
      </c>
      <c r="J25" s="3" t="n">
        <v>199900</v>
      </c>
      <c r="K25" s="3" t="n">
        <v>95750.42016806723</v>
      </c>
      <c r="L25" s="5" t="n">
        <v>0.3234916200753886</v>
      </c>
      <c r="M25" s="3" t="n">
        <v>117285.8655462185</v>
      </c>
      <c r="N25" s="5" t="n">
        <v>0.4477087130377707</v>
      </c>
      <c r="O25" s="3" t="n">
        <v>190517.5341911764</v>
      </c>
      <c r="P25" s="5" t="n">
        <v>0.6599999999999999</v>
      </c>
      <c r="Q25" s="3" t="n">
        <v>129850</v>
      </c>
      <c r="R25" s="5" t="n">
        <v>0.5011477733923758</v>
      </c>
      <c r="S25" s="3" t="n">
        <v>137.8</v>
      </c>
      <c r="T25" s="5" t="n">
        <v>0.8656936312979474</v>
      </c>
      <c r="U25" s="6">
        <f>IF(OR(K25="",E25=""),"",(K25-E25)/K25)</f>
        <v/>
      </c>
      <c r="V25" s="6">
        <f>IF(OR(M25="",E25=""),"",(M25-E25)/M25)</f>
        <v/>
      </c>
      <c r="W25" s="6">
        <f>IF(OR(O25="",E25=""),"",(O25-E25)/O25)</f>
        <v/>
      </c>
      <c r="X25" s="6">
        <f>IF(OR(Q25="",E25=""),"",(Q25-E25)/Q25)</f>
        <v/>
      </c>
      <c r="Y25" s="6">
        <f>IF(OR(S25="",E25=""),"",((S25*3500)-E25)/(S25*3500))</f>
        <v/>
      </c>
      <c r="Z25" s="7" t="n"/>
    </row>
    <row r="26">
      <c r="A26" s="2" t="inlineStr">
        <is>
          <t>ANCIENT</t>
        </is>
      </c>
      <c r="B26" s="2" t="inlineStr">
        <is>
          <t>I'M BLUE KNOTTED BRALETTE TOP</t>
        </is>
      </c>
      <c r="C26" s="2" t="inlineStr">
        <is>
          <t>283179/DBLU</t>
        </is>
      </c>
      <c r="D26" s="2" t="n">
        <v>8000</v>
      </c>
      <c r="E26" s="3" t="n">
        <v>41966.0625</v>
      </c>
      <c r="F26" s="4" t="n">
        <v>11739.386625</v>
      </c>
      <c r="G26" s="3">
        <f>IF(OR(E26="",F26=""),"",E26+F26)</f>
        <v/>
      </c>
      <c r="H26" s="3" t="n">
        <v>63909.48445875</v>
      </c>
      <c r="I26" s="3" t="n">
        <v>159773.711146875</v>
      </c>
      <c r="J26" s="3" t="n">
        <v>159900</v>
      </c>
      <c r="K26" s="3" t="n">
        <v>76590.75630252101</v>
      </c>
      <c r="L26" s="5" t="n">
        <v>0.2987998589167572</v>
      </c>
      <c r="M26" s="3" t="n">
        <v>93816.95798319328</v>
      </c>
      <c r="N26" s="5" t="n">
        <v>0.4275507298518356</v>
      </c>
      <c r="O26" s="3" t="n">
        <v>157957.2033088235</v>
      </c>
      <c r="P26" s="5" t="n">
        <v>0.66</v>
      </c>
      <c r="Q26" s="3" t="n">
        <v>93099.99999999999</v>
      </c>
      <c r="R26" s="5" t="n">
        <v>0.4231423294844253</v>
      </c>
      <c r="S26" s="3" t="n">
        <v>98.8</v>
      </c>
      <c r="T26" s="5" t="n">
        <v>0.8446921656304223</v>
      </c>
      <c r="U26" s="6">
        <f>IF(OR(K26="",E26=""),"",(K26-E26)/K26)</f>
        <v/>
      </c>
      <c r="V26" s="6">
        <f>IF(OR(M26="",E26=""),"",(M26-E26)/M26)</f>
        <v/>
      </c>
      <c r="W26" s="6">
        <f>IF(OR(O26="",E26=""),"",(O26-E26)/O26)</f>
        <v/>
      </c>
      <c r="X26" s="6">
        <f>IF(OR(Q26="",E26=""),"",(Q26-E26)/Q26)</f>
        <v/>
      </c>
      <c r="Y26" s="6">
        <f>IF(OR(S26="",E26=""),"",((S26*3500)-E26)/(S26*3500))</f>
        <v/>
      </c>
      <c r="Z26" s="7" t="n"/>
    </row>
    <row r="27">
      <c r="A27" s="2" t="inlineStr">
        <is>
          <t>ANCIENT</t>
        </is>
      </c>
      <c r="B27" s="2" t="inlineStr">
        <is>
          <t>I'M BLUE CHEEKY BOTTOM</t>
        </is>
      </c>
      <c r="C27" s="2" t="inlineStr">
        <is>
          <t>283221/DBLU</t>
        </is>
      </c>
      <c r="D27" s="2" t="n">
        <v>8000</v>
      </c>
      <c r="E27" s="3" t="n">
        <v>27145.125</v>
      </c>
      <c r="F27" s="4" t="n">
        <v>11739.386625</v>
      </c>
      <c r="G27" s="3">
        <f>IF(OR(E27="",F27=""),"",E27+F27)</f>
        <v/>
      </c>
      <c r="H27" s="3" t="n">
        <v>46272.56883375</v>
      </c>
      <c r="I27" s="3" t="n">
        <v>115681.422084375</v>
      </c>
      <c r="J27" s="3" t="n">
        <v>119900</v>
      </c>
      <c r="K27" s="3" t="n">
        <v>57431.09243697478</v>
      </c>
      <c r="L27" s="5" t="n">
        <v>0.322936235843466</v>
      </c>
      <c r="M27" s="3" t="n">
        <v>70348.05042016806</v>
      </c>
      <c r="N27" s="5" t="n">
        <v>0.4472553056871607</v>
      </c>
      <c r="O27" s="3" t="n">
        <v>114366.2106617647</v>
      </c>
      <c r="P27" s="5" t="n">
        <v>0.6599999999999999</v>
      </c>
      <c r="Q27" s="3" t="n">
        <v>78400</v>
      </c>
      <c r="R27" s="5" t="n">
        <v>0.5040240864158163</v>
      </c>
      <c r="S27" s="3" t="n">
        <v>83.2</v>
      </c>
      <c r="T27" s="5" t="n">
        <v>0.8664680232657967</v>
      </c>
      <c r="U27" s="6">
        <f>IF(OR(K27="",E27=""),"",(K27-E27)/K27)</f>
        <v/>
      </c>
      <c r="V27" s="6">
        <f>IF(OR(M27="",E27=""),"",(M27-E27)/M27)</f>
        <v/>
      </c>
      <c r="W27" s="6">
        <f>IF(OR(O27="",E27=""),"",(O27-E27)/O27)</f>
        <v/>
      </c>
      <c r="X27" s="6">
        <f>IF(OR(Q27="",E27=""),"",(Q27-E27)/Q27)</f>
        <v/>
      </c>
      <c r="Y27" s="6">
        <f>IF(OR(S27="",E27=""),"",((S27*3500)-E27)/(S27*3500))</f>
        <v/>
      </c>
      <c r="Z27" s="7" t="n"/>
    </row>
    <row r="28">
      <c r="A28" s="2" t="inlineStr">
        <is>
          <t>ANCIENT</t>
        </is>
      </c>
      <c r="B28" s="2" t="inlineStr">
        <is>
          <t>I'M BLUE ASYMMETRIC ONE SHOULDER</t>
        </is>
      </c>
      <c r="C28" s="2" t="inlineStr">
        <is>
          <t>283377/DBLU</t>
        </is>
      </c>
      <c r="D28" s="2" t="n">
        <v>8000</v>
      </c>
      <c r="E28" s="3" t="n">
        <v>44962.0875</v>
      </c>
      <c r="F28" s="4" t="n">
        <v>11739.386625</v>
      </c>
      <c r="G28" s="3">
        <f>IF(OR(E28="",F28=""),"",E28+F28)</f>
        <v/>
      </c>
      <c r="H28" s="3" t="n">
        <v>67474.75420875</v>
      </c>
      <c r="I28" s="3" t="n">
        <v>168686.885521875</v>
      </c>
      <c r="J28" s="3" t="n">
        <v>199900</v>
      </c>
      <c r="K28" s="3" t="n">
        <v>95750.42016806723</v>
      </c>
      <c r="L28" s="5" t="n">
        <v>0.4078201012019168</v>
      </c>
      <c r="M28" s="3" t="n">
        <v>117285.8655462185</v>
      </c>
      <c r="N28" s="5" t="n">
        <v>0.5165532192567925</v>
      </c>
      <c r="O28" s="3" t="n">
        <v>166769.0415441176</v>
      </c>
      <c r="P28" s="5" t="n">
        <v>0.6599999999999999</v>
      </c>
      <c r="Q28" s="3" t="n">
        <v>137200</v>
      </c>
      <c r="R28" s="5" t="n">
        <v>0.586723949526239</v>
      </c>
      <c r="S28" s="3" t="n">
        <v>145.6</v>
      </c>
      <c r="T28" s="5" t="n">
        <v>0.8887333710262951</v>
      </c>
      <c r="U28" s="6">
        <f>IF(OR(K28="",E28=""),"",(K28-E28)/K28)</f>
        <v/>
      </c>
      <c r="V28" s="6">
        <f>IF(OR(M28="",E28=""),"",(M28-E28)/M28)</f>
        <v/>
      </c>
      <c r="W28" s="6">
        <f>IF(OR(O28="",E28=""),"",(O28-E28)/O28)</f>
        <v/>
      </c>
      <c r="X28" s="6">
        <f>IF(OR(Q28="",E28=""),"",(Q28-E28)/Q28)</f>
        <v/>
      </c>
      <c r="Y28" s="6">
        <f>IF(OR(S28="",E28=""),"",((S28*3500)-E28)/(S28*3500))</f>
        <v/>
      </c>
      <c r="Z28" s="7" t="n"/>
    </row>
    <row r="29">
      <c r="A29" s="2" t="inlineStr">
        <is>
          <t>ANCIENT</t>
        </is>
      </c>
      <c r="B29" s="2" t="inlineStr">
        <is>
          <t>AMULETO PAREO</t>
        </is>
      </c>
      <c r="C29" s="2" t="inlineStr">
        <is>
          <t>28RE22/AMLT</t>
        </is>
      </c>
      <c r="D29" s="2" t="n">
        <v>8000</v>
      </c>
      <c r="E29" s="3" t="n">
        <v>31578.17142857143</v>
      </c>
      <c r="F29" s="4" t="n">
        <v>11739.386625</v>
      </c>
      <c r="G29" s="3">
        <f>IF(OR(E29="",F29=""),"",E29+F29)</f>
        <v/>
      </c>
      <c r="H29" s="3" t="n">
        <v>51547.89408374999</v>
      </c>
      <c r="I29" s="3" t="n">
        <v>128869.735209375</v>
      </c>
      <c r="J29" s="3" t="n">
        <v>139900</v>
      </c>
      <c r="K29" s="3" t="n">
        <v>67010.9243697479</v>
      </c>
      <c r="L29" s="5" t="n">
        <v>0.3535746826210451</v>
      </c>
      <c r="M29" s="3" t="n">
        <v>82082.50420168067</v>
      </c>
      <c r="N29" s="5" t="n">
        <v>0.4722680737525004</v>
      </c>
      <c r="O29" s="3" t="n">
        <v>127404.5825105042</v>
      </c>
      <c r="P29" s="5" t="n">
        <v>0.66</v>
      </c>
      <c r="Q29" s="3" t="n">
        <v>88200</v>
      </c>
      <c r="R29" s="5" t="n">
        <v>0.5088712238824101</v>
      </c>
      <c r="S29" s="3" t="n">
        <v>93.60000000000001</v>
      </c>
      <c r="T29" s="5" t="n">
        <v>0.867773021814495</v>
      </c>
      <c r="U29" s="6">
        <f>IF(OR(K29="",E29=""),"",(K29-E29)/K29)</f>
        <v/>
      </c>
      <c r="V29" s="6">
        <f>IF(OR(M29="",E29=""),"",(M29-E29)/M29)</f>
        <v/>
      </c>
      <c r="W29" s="6">
        <f>IF(OR(O29="",E29=""),"",(O29-E29)/O29)</f>
        <v/>
      </c>
      <c r="X29" s="6">
        <f>IF(OR(Q29="",E29=""),"",(Q29-E29)/Q29)</f>
        <v/>
      </c>
      <c r="Y29" s="6">
        <f>IF(OR(S29="",E29=""),"",((S29*3500)-E29)/(S29*3500))</f>
        <v/>
      </c>
      <c r="Z29" s="7" t="n"/>
    </row>
    <row r="30">
      <c r="A30" s="2" t="inlineStr">
        <is>
          <t>ANCIENT</t>
        </is>
      </c>
      <c r="B30" s="2" t="inlineStr">
        <is>
          <t>AMULETO HEADKERCHIEF</t>
        </is>
      </c>
      <c r="C30" s="2" t="inlineStr">
        <is>
          <t>28KE21/AMLT</t>
        </is>
      </c>
      <c r="D30" s="2" t="n">
        <v>8000</v>
      </c>
      <c r="E30" s="3" t="n">
        <v>19794.12</v>
      </c>
      <c r="F30" s="4" t="n">
        <v>3159.75</v>
      </c>
      <c r="G30" s="3">
        <f>IF(OR(E30="",F30=""),"",E30+F30)</f>
        <v/>
      </c>
      <c r="H30" s="3" t="n">
        <v>27315.1053</v>
      </c>
      <c r="I30" s="3" t="n">
        <v>68287.76324999999</v>
      </c>
      <c r="J30" s="3" t="n">
        <v>59900</v>
      </c>
      <c r="K30" s="3" t="n">
        <v>28691.59663865546</v>
      </c>
      <c r="L30" s="5" t="n">
        <v>0.1999793427642562</v>
      </c>
      <c r="M30" s="3" t="n">
        <v>35144.68907563025</v>
      </c>
      <c r="N30" s="5" t="n">
        <v>0.3468751437634289</v>
      </c>
      <c r="O30" s="3" t="n">
        <v>67511.38235294117</v>
      </c>
      <c r="P30" s="5" t="n">
        <v>0.66</v>
      </c>
      <c r="Q30" s="3" t="n">
        <v>39200</v>
      </c>
      <c r="R30" s="5" t="n">
        <v>0.4144420918367347</v>
      </c>
      <c r="S30" s="3" t="n">
        <v>41.6</v>
      </c>
      <c r="T30" s="5" t="n">
        <v>0.842349793956044</v>
      </c>
      <c r="U30" s="6">
        <f>IF(OR(K30="",E30=""),"",(K30-E30)/K30)</f>
        <v/>
      </c>
      <c r="V30" s="6">
        <f>IF(OR(M30="",E30=""),"",(M30-E30)/M30)</f>
        <v/>
      </c>
      <c r="W30" s="6">
        <f>IF(OR(O30="",E30=""),"",(O30-E30)/O30)</f>
        <v/>
      </c>
      <c r="X30" s="6">
        <f>IF(OR(Q30="",E30=""),"",(Q30-E30)/Q30)</f>
        <v/>
      </c>
      <c r="Y30" s="6">
        <f>IF(OR(S30="",E30=""),"",((S30*3500)-E30)/(S30*3500))</f>
        <v/>
      </c>
      <c r="Z30" s="7" t="n"/>
    </row>
    <row r="31">
      <c r="A31" s="2" t="inlineStr">
        <is>
          <t>ANCIENT</t>
        </is>
      </c>
      <c r="B31" s="2" t="inlineStr">
        <is>
          <t>AMULETO TOWEL</t>
        </is>
      </c>
      <c r="C31" s="2" t="inlineStr">
        <is>
          <t>28TO27/AMLT</t>
        </is>
      </c>
      <c r="D31" s="2" t="n">
        <v>8000</v>
      </c>
      <c r="E31" s="3" t="n">
        <v>36124.62</v>
      </c>
      <c r="F31" s="4" t="n">
        <v>3159.75</v>
      </c>
      <c r="G31" s="3">
        <f>IF(OR(E31="",F31=""),"",E31+F31)</f>
        <v/>
      </c>
      <c r="H31" s="3" t="n">
        <v>46748.4003</v>
      </c>
      <c r="I31" s="3" t="n">
        <v>116871.00075</v>
      </c>
      <c r="J31" s="3" t="n">
        <v>94000</v>
      </c>
      <c r="K31" s="3" t="n">
        <v>45025.21008403361</v>
      </c>
      <c r="L31" s="5" t="n">
        <v>0.1275027939529675</v>
      </c>
      <c r="M31" s="3" t="n">
        <v>55151.93277310924</v>
      </c>
      <c r="N31" s="5" t="n">
        <v>0.2877063771887589</v>
      </c>
      <c r="O31" s="3" t="n">
        <v>115542.2647058823</v>
      </c>
      <c r="P31" s="5" t="n">
        <v>0.66</v>
      </c>
      <c r="Q31" s="3" t="n">
        <v>83299.99999999999</v>
      </c>
      <c r="R31" s="5" t="n">
        <v>0.528398919567827</v>
      </c>
      <c r="S31" s="3" t="n">
        <v>88.40000000000001</v>
      </c>
      <c r="T31" s="5" t="n">
        <v>0.8730304783451842</v>
      </c>
      <c r="U31" s="6">
        <f>IF(OR(K31="",E31=""),"",(K31-E31)/K31)</f>
        <v/>
      </c>
      <c r="V31" s="6">
        <f>IF(OR(M31="",E31=""),"",(M31-E31)/M31)</f>
        <v/>
      </c>
      <c r="W31" s="6">
        <f>IF(OR(O31="",E31=""),"",(O31-E31)/O31)</f>
        <v/>
      </c>
      <c r="X31" s="6">
        <f>IF(OR(Q31="",E31=""),"",(Q31-E31)/Q31)</f>
        <v/>
      </c>
      <c r="Y31" s="6">
        <f>IF(OR(S31="",E31=""),"",((S31*3500)-E31)/(S31*3500))</f>
        <v/>
      </c>
      <c r="Z31" s="7" t="n"/>
    </row>
    <row r="32">
      <c r="A32" s="2" t="inlineStr">
        <is>
          <t>ANCIENT</t>
        </is>
      </c>
      <c r="B32" s="2" t="inlineStr">
        <is>
          <t>AMULETO MESH SHIRT</t>
        </is>
      </c>
      <c r="C32" s="2" t="inlineStr">
        <is>
          <t>28CA36/AMLT</t>
        </is>
      </c>
      <c r="D32" s="2" t="n">
        <v>8000</v>
      </c>
      <c r="E32" s="3" t="n">
        <v>32455.55913978495</v>
      </c>
      <c r="F32" s="4" t="n">
        <v>11739.386625</v>
      </c>
      <c r="G32" s="3">
        <f>IF(OR(E32="",F32=""),"",E32+F32)</f>
        <v/>
      </c>
      <c r="H32" s="3" t="n">
        <v>52591.98546009409</v>
      </c>
      <c r="I32" s="3" t="n">
        <v>131479.9636502352</v>
      </c>
      <c r="J32" s="3" t="n">
        <v>129900</v>
      </c>
      <c r="K32" s="3" t="n">
        <v>62221.00840336135</v>
      </c>
      <c r="L32" s="5" t="n">
        <v>0.2897102297301016</v>
      </c>
      <c r="M32" s="3" t="n">
        <v>76215.27731092437</v>
      </c>
      <c r="N32" s="5" t="n">
        <v>0.4201300930194184</v>
      </c>
      <c r="O32" s="3" t="n">
        <v>129985.1346023087</v>
      </c>
      <c r="P32" s="5" t="n">
        <v>0.66</v>
      </c>
      <c r="Q32" s="3" t="n">
        <v>95549.99999999999</v>
      </c>
      <c r="R32" s="5" t="n">
        <v>0.5374678622209842</v>
      </c>
      <c r="S32" s="3" t="n">
        <v>101.4</v>
      </c>
      <c r="T32" s="5" t="n">
        <v>0.8754721167518035</v>
      </c>
      <c r="U32" s="6">
        <f>IF(OR(K32="",E32=""),"",(K32-E32)/K32)</f>
        <v/>
      </c>
      <c r="V32" s="6">
        <f>IF(OR(M32="",E32=""),"",(M32-E32)/M32)</f>
        <v/>
      </c>
      <c r="W32" s="6">
        <f>IF(OR(O32="",E32=""),"",(O32-E32)/O32)</f>
        <v/>
      </c>
      <c r="X32" s="6">
        <f>IF(OR(Q32="",E32=""),"",(Q32-E32)/Q32)</f>
        <v/>
      </c>
      <c r="Y32" s="6">
        <f>IF(OR(S32="",E32=""),"",((S32*3500)-E32)/(S32*3500))</f>
        <v/>
      </c>
      <c r="Z32" s="7" t="n"/>
    </row>
    <row r="33">
      <c r="A33" s="2" t="inlineStr">
        <is>
          <t>ANCIENT</t>
        </is>
      </c>
      <c r="B33" s="2" t="inlineStr">
        <is>
          <t>AMULETO WHITE T-SHIRT</t>
        </is>
      </c>
      <c r="C33" s="2" t="inlineStr">
        <is>
          <t>28TSH20/AMWH</t>
        </is>
      </c>
      <c r="D33" s="2" t="n">
        <v>8000</v>
      </c>
      <c r="E33" s="3" t="n">
        <v>28862.74509803922</v>
      </c>
      <c r="F33" s="4" t="n">
        <v>11739.386625</v>
      </c>
      <c r="G33" s="3">
        <f>IF(OR(E33="",F33=""),"",E33+F33)</f>
        <v/>
      </c>
      <c r="H33" s="3" t="n">
        <v>48316.53675041666</v>
      </c>
      <c r="I33" s="3" t="n">
        <v>120791.3418760417</v>
      </c>
      <c r="J33" s="3" t="n">
        <v>129900</v>
      </c>
      <c r="K33" s="3" t="n">
        <v>62221.00840336135</v>
      </c>
      <c r="L33" s="5" t="n">
        <v>0.3474530104072409</v>
      </c>
      <c r="M33" s="3" t="n">
        <v>76215.27731092437</v>
      </c>
      <c r="N33" s="5" t="n">
        <v>0.4672704324436083</v>
      </c>
      <c r="O33" s="3" t="n">
        <v>119418.0344795271</v>
      </c>
      <c r="P33" s="5" t="n">
        <v>0.6599999999999999</v>
      </c>
      <c r="Q33" s="3" t="n">
        <v>83299.99999999999</v>
      </c>
      <c r="R33" s="5" t="n">
        <v>0.512579451103971</v>
      </c>
      <c r="S33" s="3" t="n">
        <v>88.40000000000001</v>
      </c>
      <c r="T33" s="5" t="n">
        <v>0.8687713906818384</v>
      </c>
      <c r="U33" s="6">
        <f>IF(OR(K33="",E33=""),"",(K33-E33)/K33)</f>
        <v/>
      </c>
      <c r="V33" s="6">
        <f>IF(OR(M33="",E33=""),"",(M33-E33)/M33)</f>
        <v/>
      </c>
      <c r="W33" s="6">
        <f>IF(OR(O33="",E33=""),"",(O33-E33)/O33)</f>
        <v/>
      </c>
      <c r="X33" s="6">
        <f>IF(OR(Q33="",E33=""),"",(Q33-E33)/Q33)</f>
        <v/>
      </c>
      <c r="Y33" s="6">
        <f>IF(OR(S33="",E33=""),"",((S33*3500)-E33)/(S33*3500))</f>
        <v/>
      </c>
      <c r="Z33" s="7" t="n"/>
    </row>
    <row r="34">
      <c r="A34" s="2" t="inlineStr">
        <is>
          <t>ANCIENT</t>
        </is>
      </c>
      <c r="B34" s="2" t="inlineStr">
        <is>
          <t>AMULETO BLACK T-SHIRT</t>
        </is>
      </c>
      <c r="C34" s="2" t="inlineStr">
        <is>
          <t>28TSH20/AMBL</t>
        </is>
      </c>
      <c r="D34" s="2" t="n">
        <v>8000</v>
      </c>
      <c r="E34" s="3" t="n">
        <v>28862.74509803922</v>
      </c>
      <c r="F34" s="4" t="n">
        <v>11739.386625</v>
      </c>
      <c r="G34" s="3">
        <f>IF(OR(E34="",F34=""),"",E34+F34)</f>
        <v/>
      </c>
      <c r="H34" s="3" t="n">
        <v>48316.53675041666</v>
      </c>
      <c r="I34" s="3" t="n">
        <v>120791.3418760417</v>
      </c>
      <c r="J34" s="3" t="n">
        <v>129900</v>
      </c>
      <c r="K34" s="3" t="n">
        <v>62221.00840336135</v>
      </c>
      <c r="L34" s="5" t="n">
        <v>0.3474530104072409</v>
      </c>
      <c r="M34" s="3" t="n">
        <v>76215.27731092437</v>
      </c>
      <c r="N34" s="5" t="n">
        <v>0.4672704324436083</v>
      </c>
      <c r="O34" s="3" t="n">
        <v>119418.0344795271</v>
      </c>
      <c r="P34" s="5" t="n">
        <v>0.6599999999999999</v>
      </c>
      <c r="Q34" s="3" t="n">
        <v>83299.99999999999</v>
      </c>
      <c r="R34" s="5" t="n">
        <v>0.512579451103971</v>
      </c>
      <c r="S34" s="3" t="n">
        <v>88.40000000000001</v>
      </c>
      <c r="T34" s="5" t="n">
        <v>0.8687713906818384</v>
      </c>
      <c r="U34" s="6">
        <f>IF(OR(K34="",E34=""),"",(K34-E34)/K34)</f>
        <v/>
      </c>
      <c r="V34" s="6">
        <f>IF(OR(M34="",E34=""),"",(M34-E34)/M34)</f>
        <v/>
      </c>
      <c r="W34" s="6">
        <f>IF(OR(O34="",E34=""),"",(O34-E34)/O34)</f>
        <v/>
      </c>
      <c r="X34" s="6">
        <f>IF(OR(Q34="",E34=""),"",(Q34-E34)/Q34)</f>
        <v/>
      </c>
      <c r="Y34" s="6">
        <f>IF(OR(S34="",E34=""),"",((S34*3500)-E34)/(S34*3500))</f>
        <v/>
      </c>
      <c r="Z34" s="7" t="n"/>
    </row>
    <row r="35">
      <c r="A35" s="2" t="inlineStr">
        <is>
          <t>ANCIENT</t>
        </is>
      </c>
      <c r="B35" s="2" t="inlineStr">
        <is>
          <t>AMULETO DRAPED MESH DRESS</t>
        </is>
      </c>
      <c r="C35" s="2" t="inlineStr">
        <is>
          <t>28VE38/AMLT</t>
        </is>
      </c>
      <c r="D35" s="2" t="n">
        <v>8000</v>
      </c>
      <c r="E35" s="3" t="n">
        <v>76119.08333333333</v>
      </c>
      <c r="F35" s="4" t="n">
        <v>11739.386625</v>
      </c>
      <c r="G35" s="3">
        <f>IF(OR(E35="",F35=""),"",E35+F35)</f>
        <v/>
      </c>
      <c r="H35" s="3" t="n">
        <v>104551.5792504167</v>
      </c>
      <c r="I35" s="3" t="n">
        <v>261378.9481260416</v>
      </c>
      <c r="J35" s="3" t="n">
        <v>219900</v>
      </c>
      <c r="K35" s="3" t="n">
        <v>105330.2521008403</v>
      </c>
      <c r="L35" s="5" t="n">
        <v>0.165876201699204</v>
      </c>
      <c r="M35" s="3" t="n">
        <v>129020.3193277311</v>
      </c>
      <c r="N35" s="5" t="n">
        <v>0.3190338512869468</v>
      </c>
      <c r="O35" s="3" t="n">
        <v>258407.2645833333</v>
      </c>
      <c r="P35" s="5" t="n">
        <v>0.66</v>
      </c>
      <c r="Q35" s="3" t="n">
        <v>147000</v>
      </c>
      <c r="R35" s="5" t="n">
        <v>0.4023233336167801</v>
      </c>
      <c r="S35" s="3" t="n">
        <v>156</v>
      </c>
      <c r="T35" s="5" t="n">
        <v>0.8390870513583639</v>
      </c>
      <c r="U35" s="6">
        <f>IF(OR(K35="",E35=""),"",(K35-E35)/K35)</f>
        <v/>
      </c>
      <c r="V35" s="6">
        <f>IF(OR(M35="",E35=""),"",(M35-E35)/M35)</f>
        <v/>
      </c>
      <c r="W35" s="6">
        <f>IF(OR(O35="",E35=""),"",(O35-E35)/O35)</f>
        <v/>
      </c>
      <c r="X35" s="6">
        <f>IF(OR(Q35="",E35=""),"",(Q35-E35)/Q35)</f>
        <v/>
      </c>
      <c r="Y35" s="6">
        <f>IF(OR(S35="",E35=""),"",((S35*3500)-E35)/(S35*3500))</f>
        <v/>
      </c>
      <c r="Z35" s="7" t="n"/>
    </row>
    <row r="36">
      <c r="A36" s="2" t="inlineStr">
        <is>
          <t>ANCIENT</t>
        </is>
      </c>
      <c r="B36" s="2" t="inlineStr">
        <is>
          <t>AMULETO MESH PANTS</t>
        </is>
      </c>
      <c r="C36" s="2" t="inlineStr">
        <is>
          <t>28PA23/AMLT</t>
        </is>
      </c>
      <c r="D36" s="2" t="n">
        <v>8000</v>
      </c>
      <c r="E36" s="3" t="n">
        <v>46514.53</v>
      </c>
      <c r="F36" s="4" t="n">
        <v>11739.386625</v>
      </c>
      <c r="G36" s="3">
        <f>IF(OR(E36="",F36=""),"",E36+F36)</f>
        <v/>
      </c>
      <c r="H36" s="3" t="n">
        <v>69322.16078374999</v>
      </c>
      <c r="I36" s="3" t="n">
        <v>173305.401959375</v>
      </c>
      <c r="J36" s="3" t="n">
        <v>179900</v>
      </c>
      <c r="K36" s="3" t="n">
        <v>86170.58823529411</v>
      </c>
      <c r="L36" s="5" t="n">
        <v>0.3239698391528432</v>
      </c>
      <c r="M36" s="3" t="n">
        <v>105551.4117647059</v>
      </c>
      <c r="N36" s="5" t="n">
        <v>0.4480991239145239</v>
      </c>
      <c r="O36" s="3" t="n">
        <v>171335.0488970588</v>
      </c>
      <c r="P36" s="5" t="n">
        <v>0.66</v>
      </c>
      <c r="Q36" s="3" t="n">
        <v>117600</v>
      </c>
      <c r="R36" s="5" t="n">
        <v>0.5046435661139456</v>
      </c>
      <c r="S36" s="3" t="n">
        <v>124.8</v>
      </c>
      <c r="T36" s="5" t="n">
        <v>0.8666348062614468</v>
      </c>
      <c r="U36" s="6">
        <f>IF(OR(K36="",E36=""),"",(K36-E36)/K36)</f>
        <v/>
      </c>
      <c r="V36" s="6">
        <f>IF(OR(M36="",E36=""),"",(M36-E36)/M36)</f>
        <v/>
      </c>
      <c r="W36" s="6">
        <f>IF(OR(O36="",E36=""),"",(O36-E36)/O36)</f>
        <v/>
      </c>
      <c r="X36" s="6">
        <f>IF(OR(Q36="",E36=""),"",(Q36-E36)/Q36)</f>
        <v/>
      </c>
      <c r="Y36" s="6">
        <f>IF(OR(S36="",E36=""),"",((S36*3500)-E36)/(S36*3500))</f>
        <v/>
      </c>
      <c r="Z36" s="7" t="n"/>
    </row>
    <row r="37">
      <c r="A37" s="2" t="inlineStr">
        <is>
          <t>ANCIENT</t>
        </is>
      </c>
      <c r="B37" s="2" t="inlineStr">
        <is>
          <t>I'M BLUE CLASSIC JEAN</t>
        </is>
      </c>
      <c r="C37" s="2" t="inlineStr">
        <is>
          <t>28PA27/DBLU</t>
        </is>
      </c>
      <c r="D37" s="2" t="n">
        <v>8000</v>
      </c>
      <c r="E37" s="3" t="n"/>
      <c r="F37" s="4" t="n">
        <v>11739.386625</v>
      </c>
      <c r="G37" s="3">
        <f>IF(OR(E37="",F37=""),"",E37+F37)</f>
        <v/>
      </c>
      <c r="H37" s="3" t="n">
        <v>13969.87008375</v>
      </c>
      <c r="I37" s="3" t="n">
        <v>34924.675209375</v>
      </c>
      <c r="J37" s="3" t="n"/>
      <c r="K37" s="3" t="n">
        <v>0</v>
      </c>
      <c r="L37" s="5" t="e">
        <v>#DIV/0!</v>
      </c>
      <c r="M37" s="3" t="n">
        <v>0</v>
      </c>
      <c r="N37" s="5" t="e">
        <v>#DIV/0!</v>
      </c>
      <c r="O37" s="3" t="n">
        <v>34527.60772058823</v>
      </c>
      <c r="P37" s="5" t="n">
        <v>0.66</v>
      </c>
      <c r="Q37" s="3" t="n">
        <v>147000</v>
      </c>
      <c r="R37" s="5" t="n">
        <v>0.9201402270408164</v>
      </c>
      <c r="S37" s="3" t="n">
        <v>156</v>
      </c>
      <c r="T37" s="5" t="n">
        <v>0.9784992918956044</v>
      </c>
      <c r="U37" s="6">
        <f>IF(OR(K37="",E37=""),"",(K37-E37)/K37)</f>
        <v/>
      </c>
      <c r="V37" s="6">
        <f>IF(OR(M37="",E37=""),"",(M37-E37)/M37)</f>
        <v/>
      </c>
      <c r="W37" s="6">
        <f>IF(OR(O37="",E37=""),"",(O37-E37)/O37)</f>
        <v/>
      </c>
      <c r="X37" s="6">
        <f>IF(OR(Q37="",E37=""),"",(Q37-E37)/Q37)</f>
        <v/>
      </c>
      <c r="Y37" s="6">
        <f>IF(OR(S37="",E37=""),"",((S37*3500)-E37)/(S37*3500))</f>
        <v/>
      </c>
      <c r="Z37" s="8" t="inlineStr">
        <is>
          <t>Falta costo directo (COSTO PRODUCTO) en el archivo original — ya venía como #DIV/0! ahí</t>
        </is>
      </c>
    </row>
    <row r="38">
      <c r="A38" s="2" t="inlineStr">
        <is>
          <t>ANCIENT</t>
        </is>
      </c>
      <c r="B38" s="2" t="inlineStr">
        <is>
          <t>I'M BLUE DENIM SKORT</t>
        </is>
      </c>
      <c r="C38" s="2" t="inlineStr">
        <is>
          <t>28FA31/DBLU</t>
        </is>
      </c>
      <c r="D38" s="2" t="n">
        <v>8000</v>
      </c>
      <c r="E38" s="3" t="n"/>
      <c r="F38" s="4" t="n">
        <v>11739.386625</v>
      </c>
      <c r="G38" s="3">
        <f>IF(OR(E38="",F38=""),"",E38+F38)</f>
        <v/>
      </c>
      <c r="H38" s="3" t="n">
        <v>13969.87008375</v>
      </c>
      <c r="I38" s="3" t="n">
        <v>34924.675209375</v>
      </c>
      <c r="J38" s="3" t="n"/>
      <c r="K38" s="3" t="n">
        <v>0</v>
      </c>
      <c r="L38" s="5" t="e">
        <v>#DIV/0!</v>
      </c>
      <c r="M38" s="3" t="n">
        <v>0</v>
      </c>
      <c r="N38" s="5" t="e">
        <v>#DIV/0!</v>
      </c>
      <c r="O38" s="3" t="n">
        <v>34527.60772058823</v>
      </c>
      <c r="P38" s="5" t="n">
        <v>0.66</v>
      </c>
      <c r="Q38" s="3" t="n">
        <v>107800</v>
      </c>
      <c r="R38" s="5" t="n">
        <v>0.8911003096011132</v>
      </c>
      <c r="S38" s="3" t="n">
        <v>114.4</v>
      </c>
      <c r="T38" s="5" t="n">
        <v>0.9706808525849151</v>
      </c>
      <c r="U38" s="6">
        <f>IF(OR(K38="",E38=""),"",(K38-E38)/K38)</f>
        <v/>
      </c>
      <c r="V38" s="6">
        <f>IF(OR(M38="",E38=""),"",(M38-E38)/M38)</f>
        <v/>
      </c>
      <c r="W38" s="6">
        <f>IF(OR(O38="",E38=""),"",(O38-E38)/O38)</f>
        <v/>
      </c>
      <c r="X38" s="6">
        <f>IF(OR(Q38="",E38=""),"",(Q38-E38)/Q38)</f>
        <v/>
      </c>
      <c r="Y38" s="6">
        <f>IF(OR(S38="",E38=""),"",((S38*3500)-E38)/(S38*3500))</f>
        <v/>
      </c>
      <c r="Z38" s="8" t="inlineStr">
        <is>
          <t>Falta costo directo (COSTO PRODUCTO) en el archivo original — ya venía como #DIV/0! ahí</t>
        </is>
      </c>
    </row>
    <row r="39">
      <c r="A39" s="2" t="inlineStr">
        <is>
          <t>ANCIENT</t>
        </is>
      </c>
      <c r="B39" s="2" t="inlineStr">
        <is>
          <t>AMULETO SLEEP SHORT SLEEVELESS SHIRT</t>
        </is>
      </c>
      <c r="C39" s="2" t="inlineStr">
        <is>
          <t>284125/AMLT</t>
        </is>
      </c>
      <c r="D39" s="2" t="n">
        <v>8000</v>
      </c>
      <c r="E39" s="3" t="n">
        <v>24439.14166666665</v>
      </c>
      <c r="F39" s="4" t="n">
        <v>11739.386625</v>
      </c>
      <c r="G39" s="3">
        <f>IF(OR(E39="",F39=""),"",E39+F39)</f>
        <v/>
      </c>
      <c r="H39" s="3" t="n">
        <v>43052.44866708331</v>
      </c>
      <c r="I39" s="3" t="n">
        <v>107631.1216677083</v>
      </c>
      <c r="J39" s="3" t="n">
        <v>94950</v>
      </c>
      <c r="K39" s="3" t="n">
        <v>45480.25210084033</v>
      </c>
      <c r="L39" s="5" t="n">
        <v>0.204522257012771</v>
      </c>
      <c r="M39" s="3" t="n">
        <v>55709.31932773109</v>
      </c>
      <c r="N39" s="5" t="n">
        <v>0.3505839107666563</v>
      </c>
      <c r="O39" s="3" t="n">
        <v>106407.4361519607</v>
      </c>
      <c r="P39" s="5" t="n">
        <v>0.6599999999999999</v>
      </c>
      <c r="Q39" s="3" t="n">
        <v>41649.99999999999</v>
      </c>
      <c r="R39" s="5" t="n">
        <v>0.1313678681472592</v>
      </c>
      <c r="S39" s="3" t="n">
        <v>44.2</v>
      </c>
      <c r="T39" s="5" t="n">
        <v>0.7661375029627236</v>
      </c>
      <c r="U39" s="6">
        <f>IF(OR(K39="",E39=""),"",(K39-E39)/K39)</f>
        <v/>
      </c>
      <c r="V39" s="6">
        <f>IF(OR(M39="",E39=""),"",(M39-E39)/M39)</f>
        <v/>
      </c>
      <c r="W39" s="6">
        <f>IF(OR(O39="",E39=""),"",(O39-E39)/O39)</f>
        <v/>
      </c>
      <c r="X39" s="6">
        <f>IF(OR(Q39="",E39=""),"",(Q39-E39)/Q39)</f>
        <v/>
      </c>
      <c r="Y39" s="6">
        <f>IF(OR(S39="",E39=""),"",((S39*3500)-E39)/(S39*3500))</f>
        <v/>
      </c>
      <c r="Z39" s="7" t="n"/>
    </row>
    <row r="40">
      <c r="A40" s="2" t="inlineStr">
        <is>
          <t>ANCIENT</t>
        </is>
      </c>
      <c r="B40" s="2" t="inlineStr">
        <is>
          <t>AMULETO SLEEP PANTS</t>
        </is>
      </c>
      <c r="C40" s="2" t="inlineStr">
        <is>
          <t>284323/AMLT</t>
        </is>
      </c>
      <c r="D40" s="2" t="n">
        <v>8000</v>
      </c>
      <c r="E40" s="3" t="n">
        <v>24439.14166666665</v>
      </c>
      <c r="F40" s="4" t="n">
        <v>11739.386625</v>
      </c>
      <c r="G40" s="3">
        <f>IF(OR(E40="",F40=""),"",E40+F40)</f>
        <v/>
      </c>
      <c r="H40" s="3" t="n">
        <v>43052.44866708331</v>
      </c>
      <c r="I40" s="3" t="n">
        <v>107631.1216677083</v>
      </c>
      <c r="J40" s="3" t="n">
        <v>94950</v>
      </c>
      <c r="K40" s="3" t="n">
        <v>45480.25210084033</v>
      </c>
      <c r="L40" s="5" t="n">
        <v>0.204522257012771</v>
      </c>
      <c r="M40" s="3" t="n">
        <v>55709.31932773109</v>
      </c>
      <c r="N40" s="5" t="n">
        <v>0.3505839107666563</v>
      </c>
      <c r="O40" s="3" t="n">
        <v>106407.4361519607</v>
      </c>
      <c r="P40" s="5" t="n">
        <v>0.6599999999999999</v>
      </c>
      <c r="Q40" s="3" t="n">
        <v>44100</v>
      </c>
      <c r="R40" s="5" t="n">
        <v>0.179625208805745</v>
      </c>
      <c r="S40" s="3" t="n">
        <v>46.8</v>
      </c>
      <c r="T40" s="5" t="n">
        <v>0.7791298639092391</v>
      </c>
      <c r="U40" s="6">
        <f>IF(OR(K40="",E40=""),"",(K40-E40)/K40)</f>
        <v/>
      </c>
      <c r="V40" s="6">
        <f>IF(OR(M40="",E40=""),"",(M40-E40)/M40)</f>
        <v/>
      </c>
      <c r="W40" s="6">
        <f>IF(OR(O40="",E40=""),"",(O40-E40)/O40)</f>
        <v/>
      </c>
      <c r="X40" s="6">
        <f>IF(OR(Q40="",E40=""),"",(Q40-E40)/Q40)</f>
        <v/>
      </c>
      <c r="Y40" s="6">
        <f>IF(OR(S40="",E40=""),"",((S40*3500)-E40)/(S40*3500))</f>
        <v/>
      </c>
      <c r="Z40" s="7" t="n"/>
    </row>
    <row r="41">
      <c r="A41" s="2" t="inlineStr">
        <is>
          <t>ANCIENT</t>
        </is>
      </c>
      <c r="B41" s="2" t="inlineStr">
        <is>
          <t>MÍSTICA TRIANGLE TOP</t>
        </is>
      </c>
      <c r="C41" s="2" t="inlineStr">
        <is>
          <t>283135/MIST</t>
        </is>
      </c>
      <c r="D41" s="2" t="n">
        <v>8000</v>
      </c>
      <c r="E41" s="3" t="n">
        <v>30776.65</v>
      </c>
      <c r="F41" s="4" t="n">
        <v>11739.386625</v>
      </c>
      <c r="G41" s="3">
        <f>IF(OR(E41="",F41=""),"",E41+F41)</f>
        <v/>
      </c>
      <c r="H41" s="3" t="n">
        <v>50594.08358375</v>
      </c>
      <c r="I41" s="3" t="n">
        <v>126485.208959375</v>
      </c>
      <c r="J41" s="3" t="n">
        <v>129900</v>
      </c>
      <c r="K41" s="3" t="n">
        <v>62221.00840336135</v>
      </c>
      <c r="L41" s="5" t="n">
        <v>0.3166932244270221</v>
      </c>
      <c r="M41" s="3" t="n">
        <v>76215.27731092437</v>
      </c>
      <c r="N41" s="5" t="n">
        <v>0.4421586048745383</v>
      </c>
      <c r="O41" s="3" t="n">
        <v>125047.1665441176</v>
      </c>
      <c r="P41" s="5" t="n">
        <v>0.6599999999999999</v>
      </c>
      <c r="Q41" s="3" t="n">
        <v>78400</v>
      </c>
      <c r="R41" s="5" t="n">
        <v>0.4577036144770408</v>
      </c>
      <c r="S41" s="3" t="n">
        <v>83.2</v>
      </c>
      <c r="T41" s="5" t="n">
        <v>0.8539971269745879</v>
      </c>
      <c r="U41" s="6">
        <f>IF(OR(K41="",E41=""),"",(K41-E41)/K41)</f>
        <v/>
      </c>
      <c r="V41" s="6">
        <f>IF(OR(M41="",E41=""),"",(M41-E41)/M41)</f>
        <v/>
      </c>
      <c r="W41" s="6">
        <f>IF(OR(O41="",E41=""),"",(O41-E41)/O41)</f>
        <v/>
      </c>
      <c r="X41" s="6">
        <f>IF(OR(Q41="",E41=""),"",(Q41-E41)/Q41)</f>
        <v/>
      </c>
      <c r="Y41" s="6">
        <f>IF(OR(S41="",E41=""),"",((S41*3500)-E41)/(S41*3500))</f>
        <v/>
      </c>
      <c r="Z41" s="7" t="n"/>
    </row>
    <row r="42">
      <c r="A42" s="2" t="inlineStr">
        <is>
          <t>ANCIENT</t>
        </is>
      </c>
      <c r="B42" s="2" t="inlineStr">
        <is>
          <t>MÍSTICA STRAP TIE SIDE BOTTOM</t>
        </is>
      </c>
      <c r="C42" s="2" t="inlineStr">
        <is>
          <t>283236/MIST</t>
        </is>
      </c>
      <c r="D42" s="2" t="n">
        <v>8000</v>
      </c>
      <c r="E42" s="3" t="n">
        <v>28958.3</v>
      </c>
      <c r="F42" s="4" t="n">
        <v>11739.386625</v>
      </c>
      <c r="G42" s="3">
        <f>IF(OR(E42="",F42=""),"",E42+F42)</f>
        <v/>
      </c>
      <c r="H42" s="3" t="n">
        <v>48430.24708375</v>
      </c>
      <c r="I42" s="3" t="n">
        <v>121075.617709375</v>
      </c>
      <c r="J42" s="3" t="n">
        <v>119900</v>
      </c>
      <c r="K42" s="3" t="n">
        <v>57431.09243697478</v>
      </c>
      <c r="L42" s="5" t="n">
        <v>0.2913649227609263</v>
      </c>
      <c r="M42" s="3" t="n">
        <v>70348.05042016806</v>
      </c>
      <c r="N42" s="5" t="n">
        <v>0.4214809595727987</v>
      </c>
      <c r="O42" s="3" t="n">
        <v>119699.0783088235</v>
      </c>
      <c r="P42" s="5" t="n">
        <v>0.66</v>
      </c>
      <c r="Q42" s="3" t="n">
        <v>78400</v>
      </c>
      <c r="R42" s="5" t="n">
        <v>0.4808968542729591</v>
      </c>
      <c r="S42" s="3" t="n">
        <v>83.2</v>
      </c>
      <c r="T42" s="5" t="n">
        <v>0.8602414607657967</v>
      </c>
      <c r="U42" s="6">
        <f>IF(OR(K42="",E42=""),"",(K42-E42)/K42)</f>
        <v/>
      </c>
      <c r="V42" s="6">
        <f>IF(OR(M42="",E42=""),"",(M42-E42)/M42)</f>
        <v/>
      </c>
      <c r="W42" s="6">
        <f>IF(OR(O42="",E42=""),"",(O42-E42)/O42)</f>
        <v/>
      </c>
      <c r="X42" s="6">
        <f>IF(OR(Q42="",E42=""),"",(Q42-E42)/Q42)</f>
        <v/>
      </c>
      <c r="Y42" s="6">
        <f>IF(OR(S42="",E42=""),"",((S42*3500)-E42)/(S42*3500))</f>
        <v/>
      </c>
      <c r="Z42" s="7" t="n"/>
    </row>
    <row r="43">
      <c r="A43" s="2" t="inlineStr">
        <is>
          <t>ANCIENT</t>
        </is>
      </c>
      <c r="B43" s="2" t="inlineStr">
        <is>
          <t>MÍSTICA V NECK BRALETTE TOP</t>
        </is>
      </c>
      <c r="C43" s="2" t="inlineStr">
        <is>
          <t>283154/MIST</t>
        </is>
      </c>
      <c r="D43" s="2" t="n">
        <v>8000</v>
      </c>
      <c r="E43" s="3" t="n">
        <v>35406.0625</v>
      </c>
      <c r="F43" s="4" t="n">
        <v>11739.386625</v>
      </c>
      <c r="G43" s="3">
        <f>IF(OR(E43="",F43=""),"",E43+F43)</f>
        <v/>
      </c>
      <c r="H43" s="3" t="n">
        <v>56103.08445875</v>
      </c>
      <c r="I43" s="3" t="n">
        <v>140257.711146875</v>
      </c>
      <c r="J43" s="3" t="n">
        <v>139900</v>
      </c>
      <c r="K43" s="3" t="n">
        <v>67010.9243697479</v>
      </c>
      <c r="L43" s="5" t="n">
        <v>0.2964512940477534</v>
      </c>
      <c r="M43" s="3" t="n">
        <v>82082.50420168067</v>
      </c>
      <c r="N43" s="5" t="n">
        <v>0.4256333967448001</v>
      </c>
      <c r="O43" s="3" t="n">
        <v>138663.0856617647</v>
      </c>
      <c r="P43" s="5" t="n">
        <v>0.6599999999999999</v>
      </c>
      <c r="Q43" s="3" t="n">
        <v>88200</v>
      </c>
      <c r="R43" s="5" t="n">
        <v>0.4654710983560091</v>
      </c>
      <c r="S43" s="3" t="n">
        <v>93.60000000000001</v>
      </c>
      <c r="T43" s="5" t="n">
        <v>0.8560883726343103</v>
      </c>
      <c r="U43" s="6">
        <f>IF(OR(K43="",E43=""),"",(K43-E43)/K43)</f>
        <v/>
      </c>
      <c r="V43" s="6">
        <f>IF(OR(M43="",E43=""),"",(M43-E43)/M43)</f>
        <v/>
      </c>
      <c r="W43" s="6">
        <f>IF(OR(O43="",E43=""),"",(O43-E43)/O43)</f>
        <v/>
      </c>
      <c r="X43" s="6">
        <f>IF(OR(Q43="",E43=""),"",(Q43-E43)/Q43)</f>
        <v/>
      </c>
      <c r="Y43" s="6">
        <f>IF(OR(S43="",E43=""),"",((S43*3500)-E43)/(S43*3500))</f>
        <v/>
      </c>
      <c r="Z43" s="7" t="n"/>
    </row>
    <row r="44">
      <c r="A44" s="2" t="inlineStr">
        <is>
          <t>ANCIENT</t>
        </is>
      </c>
      <c r="B44" s="2" t="inlineStr">
        <is>
          <t>MÍSTICA HIGH WAIST BOTTOM</t>
        </is>
      </c>
      <c r="C44" s="2" t="inlineStr">
        <is>
          <t>283223/MIST</t>
        </is>
      </c>
      <c r="D44" s="2" t="n">
        <v>8000</v>
      </c>
      <c r="E44" s="3" t="n">
        <v>22473.125</v>
      </c>
      <c r="F44" s="4" t="n">
        <v>11739.386625</v>
      </c>
      <c r="G44" s="3">
        <f>IF(OR(E44="",F44=""),"",E44+F44)</f>
        <v/>
      </c>
      <c r="H44" s="3" t="n">
        <v>40712.88883375</v>
      </c>
      <c r="I44" s="3" t="n">
        <v>101782.222084375</v>
      </c>
      <c r="J44" s="3" t="n">
        <v>109900</v>
      </c>
      <c r="K44" s="3" t="n">
        <v>52641.17647058823</v>
      </c>
      <c r="L44" s="5" t="n">
        <v>0.3500807938037769</v>
      </c>
      <c r="M44" s="3" t="n">
        <v>64480.82352941175</v>
      </c>
      <c r="N44" s="5" t="n">
        <v>0.4694157153654437</v>
      </c>
      <c r="O44" s="3" t="n">
        <v>100625.0341911765</v>
      </c>
      <c r="P44" s="5" t="n">
        <v>0.6599999999999999</v>
      </c>
      <c r="Q44" s="3" t="n">
        <v>78400</v>
      </c>
      <c r="R44" s="5" t="n">
        <v>0.5636159231505102</v>
      </c>
      <c r="S44" s="3" t="n">
        <v>83.2</v>
      </c>
      <c r="T44" s="5" t="n">
        <v>0.8825119793097528</v>
      </c>
      <c r="U44" s="6">
        <f>IF(OR(K44="",E44=""),"",(K44-E44)/K44)</f>
        <v/>
      </c>
      <c r="V44" s="6">
        <f>IF(OR(M44="",E44=""),"",(M44-E44)/M44)</f>
        <v/>
      </c>
      <c r="W44" s="6">
        <f>IF(OR(O44="",E44=""),"",(O44-E44)/O44)</f>
        <v/>
      </c>
      <c r="X44" s="6">
        <f>IF(OR(Q44="",E44=""),"",(Q44-E44)/Q44)</f>
        <v/>
      </c>
      <c r="Y44" s="6">
        <f>IF(OR(S44="",E44=""),"",((S44*3500)-E44)/(S44*3500))</f>
        <v/>
      </c>
      <c r="Z44" s="7" t="n"/>
    </row>
    <row r="45">
      <c r="A45" s="2" t="inlineStr">
        <is>
          <t>ANCIENT</t>
        </is>
      </c>
      <c r="B45" s="2" t="inlineStr">
        <is>
          <t>MÍSTICA ONE SHOULDER ONE PIECE</t>
        </is>
      </c>
      <c r="C45" s="2" t="inlineStr">
        <is>
          <t>283326/MIST</t>
        </is>
      </c>
      <c r="D45" s="2" t="n">
        <v>8000</v>
      </c>
      <c r="E45" s="3" t="n">
        <v>51279.725</v>
      </c>
      <c r="F45" s="4" t="n">
        <v>11739.386625</v>
      </c>
      <c r="G45" s="3">
        <f>IF(OR(E45="",F45=""),"",E45+F45)</f>
        <v/>
      </c>
      <c r="H45" s="3" t="n">
        <v>74992.74283374999</v>
      </c>
      <c r="I45" s="3" t="n">
        <v>187481.857084375</v>
      </c>
      <c r="J45" s="3" t="n">
        <v>199900</v>
      </c>
      <c r="K45" s="3" t="n">
        <v>95750.42016806723</v>
      </c>
      <c r="L45" s="5" t="n">
        <v>0.341839842432181</v>
      </c>
      <c r="M45" s="3" t="n">
        <v>117285.8655462185</v>
      </c>
      <c r="N45" s="5" t="n">
        <v>0.4626879263625654</v>
      </c>
      <c r="O45" s="3" t="n">
        <v>185350.3283088235</v>
      </c>
      <c r="P45" s="5" t="n">
        <v>0.66</v>
      </c>
      <c r="Q45" s="3" t="n">
        <v>132300</v>
      </c>
      <c r="R45" s="5" t="n">
        <v>0.5236650670823886</v>
      </c>
      <c r="S45" s="3" t="n">
        <v>140.4</v>
      </c>
      <c r="T45" s="5" t="n">
        <v>0.8717559795991046</v>
      </c>
      <c r="U45" s="6">
        <f>IF(OR(K45="",E45=""),"",(K45-E45)/K45)</f>
        <v/>
      </c>
      <c r="V45" s="6">
        <f>IF(OR(M45="",E45=""),"",(M45-E45)/M45)</f>
        <v/>
      </c>
      <c r="W45" s="6">
        <f>IF(OR(O45="",E45=""),"",(O45-E45)/O45)</f>
        <v/>
      </c>
      <c r="X45" s="6">
        <f>IF(OR(Q45="",E45=""),"",(Q45-E45)/Q45)</f>
        <v/>
      </c>
      <c r="Y45" s="6">
        <f>IF(OR(S45="",E45=""),"",((S45*3500)-E45)/(S45*3500))</f>
        <v/>
      </c>
      <c r="Z45" s="7" t="n"/>
    </row>
    <row r="46">
      <c r="A46" s="2" t="inlineStr">
        <is>
          <t>ANCIENT</t>
        </is>
      </c>
      <c r="B46" s="2" t="inlineStr">
        <is>
          <t>I'M YELLOW TRIANGLE TOP</t>
        </is>
      </c>
      <c r="C46" s="2" t="inlineStr">
        <is>
          <t>283135/YEW</t>
        </is>
      </c>
      <c r="D46" s="2" t="n">
        <v>8000</v>
      </c>
      <c r="E46" s="3" t="n">
        <v>30757.175</v>
      </c>
      <c r="F46" s="4" t="n">
        <v>11739.386625</v>
      </c>
      <c r="G46" s="3">
        <f>IF(OR(E46="",F46=""),"",E46+F46)</f>
        <v/>
      </c>
      <c r="H46" s="3" t="n">
        <v>50570.90833375</v>
      </c>
      <c r="I46" s="3" t="n">
        <v>126427.270834375</v>
      </c>
      <c r="J46" s="3" t="n">
        <v>129900</v>
      </c>
      <c r="K46" s="3" t="n">
        <v>62221.00840336135</v>
      </c>
      <c r="L46" s="5" t="n">
        <v>0.317006221604338</v>
      </c>
      <c r="M46" s="3" t="n">
        <v>76215.27731092437</v>
      </c>
      <c r="N46" s="5" t="n">
        <v>0.4424141310720032</v>
      </c>
      <c r="O46" s="3" t="n">
        <v>124989.8871323529</v>
      </c>
      <c r="P46" s="5" t="n">
        <v>0.66</v>
      </c>
      <c r="Q46" s="3" t="n">
        <v>78400</v>
      </c>
      <c r="R46" s="5" t="n">
        <v>0.4579520200892857</v>
      </c>
      <c r="S46" s="3" t="n">
        <v>83.2</v>
      </c>
      <c r="T46" s="5" t="n">
        <v>0.8540640054086538</v>
      </c>
      <c r="U46" s="6">
        <f>IF(OR(K46="",E46=""),"",(K46-E46)/K46)</f>
        <v/>
      </c>
      <c r="V46" s="6">
        <f>IF(OR(M46="",E46=""),"",(M46-E46)/M46)</f>
        <v/>
      </c>
      <c r="W46" s="6">
        <f>IF(OR(O46="",E46=""),"",(O46-E46)/O46)</f>
        <v/>
      </c>
      <c r="X46" s="6">
        <f>IF(OR(Q46="",E46=""),"",(Q46-E46)/Q46)</f>
        <v/>
      </c>
      <c r="Y46" s="6">
        <f>IF(OR(S46="",E46=""),"",((S46*3500)-E46)/(S46*3500))</f>
        <v/>
      </c>
      <c r="Z46" s="7" t="n"/>
    </row>
    <row r="47">
      <c r="A47" s="2" t="inlineStr">
        <is>
          <t>ANCIENT</t>
        </is>
      </c>
      <c r="B47" s="2" t="inlineStr">
        <is>
          <t>I'M YELLOW STRAP TIE SIDE BOTTOM</t>
        </is>
      </c>
      <c r="C47" s="2" t="inlineStr">
        <is>
          <t>283236/YEW</t>
        </is>
      </c>
      <c r="D47" s="2" t="n">
        <v>8000</v>
      </c>
      <c r="E47" s="3" t="n">
        <v>27301.9</v>
      </c>
      <c r="F47" s="4" t="n">
        <v>11739.386625</v>
      </c>
      <c r="G47" s="3">
        <f>IF(OR(E47="",F47=""),"",E47+F47)</f>
        <v/>
      </c>
      <c r="H47" s="3" t="n">
        <v>46459.13108375</v>
      </c>
      <c r="I47" s="3" t="n">
        <v>116147.827709375</v>
      </c>
      <c r="J47" s="3" t="n">
        <v>119900</v>
      </c>
      <c r="K47" s="3" t="n">
        <v>57431.09243697478</v>
      </c>
      <c r="L47" s="5" t="n">
        <v>0.3202064427410268</v>
      </c>
      <c r="M47" s="3" t="n">
        <v>70348.05042016806</v>
      </c>
      <c r="N47" s="5" t="n">
        <v>0.4450267435725942</v>
      </c>
      <c r="O47" s="3" t="n">
        <v>114827.3136029412</v>
      </c>
      <c r="P47" s="5" t="n">
        <v>0.6599999999999999</v>
      </c>
      <c r="Q47" s="3" t="n">
        <v>78400</v>
      </c>
      <c r="R47" s="5" t="n">
        <v>0.5020244052933673</v>
      </c>
      <c r="S47" s="3" t="n">
        <v>83.2</v>
      </c>
      <c r="T47" s="5" t="n">
        <v>0.8659296475789835</v>
      </c>
      <c r="U47" s="6">
        <f>IF(OR(K47="",E47=""),"",(K47-E47)/K47)</f>
        <v/>
      </c>
      <c r="V47" s="6">
        <f>IF(OR(M47="",E47=""),"",(M47-E47)/M47)</f>
        <v/>
      </c>
      <c r="W47" s="6">
        <f>IF(OR(O47="",E47=""),"",(O47-E47)/O47)</f>
        <v/>
      </c>
      <c r="X47" s="6">
        <f>IF(OR(Q47="",E47=""),"",(Q47-E47)/Q47)</f>
        <v/>
      </c>
      <c r="Y47" s="6">
        <f>IF(OR(S47="",E47=""),"",((S47*3500)-E47)/(S47*3500))</f>
        <v/>
      </c>
      <c r="Z47" s="7" t="n"/>
    </row>
    <row r="48">
      <c r="A48" s="2" t="inlineStr">
        <is>
          <t>ANCIENT</t>
        </is>
      </c>
      <c r="B48" s="2" t="inlineStr">
        <is>
          <t>I'M YELLOW STRAIGHT ONE PIECE</t>
        </is>
      </c>
      <c r="C48" s="2" t="inlineStr">
        <is>
          <t>283370/YEW</t>
        </is>
      </c>
      <c r="D48" s="2" t="n">
        <v>8000</v>
      </c>
      <c r="E48" s="3" t="n">
        <v>54694</v>
      </c>
      <c r="F48" s="4" t="n">
        <v>11739.386625</v>
      </c>
      <c r="G48" s="3">
        <f>IF(OR(E48="",F48=""),"",E48+F48)</f>
        <v/>
      </c>
      <c r="H48" s="3" t="n">
        <v>79055.73008374999</v>
      </c>
      <c r="I48" s="3" t="n">
        <v>197639.325209375</v>
      </c>
      <c r="J48" s="3" t="n">
        <v>199900</v>
      </c>
      <c r="K48" s="3" t="n">
        <v>95750.42016806723</v>
      </c>
      <c r="L48" s="5" t="n">
        <v>0.3061817743630587</v>
      </c>
      <c r="M48" s="3" t="n">
        <v>117285.8655462185</v>
      </c>
      <c r="N48" s="5" t="n">
        <v>0.433577214819455</v>
      </c>
      <c r="O48" s="3" t="n">
        <v>195392.3136029412</v>
      </c>
      <c r="P48" s="5" t="n">
        <v>0.66</v>
      </c>
      <c r="Q48" s="3" t="n">
        <v>134750</v>
      </c>
      <c r="R48" s="5" t="n">
        <v>0.5069878543599258</v>
      </c>
      <c r="S48" s="3" t="n">
        <v>143</v>
      </c>
      <c r="T48" s="5" t="n">
        <v>0.8672659607892108</v>
      </c>
      <c r="U48" s="6">
        <f>IF(OR(K48="",E48=""),"",(K48-E48)/K48)</f>
        <v/>
      </c>
      <c r="V48" s="6">
        <f>IF(OR(M48="",E48=""),"",(M48-E48)/M48)</f>
        <v/>
      </c>
      <c r="W48" s="6">
        <f>IF(OR(O48="",E48=""),"",(O48-E48)/O48)</f>
        <v/>
      </c>
      <c r="X48" s="6">
        <f>IF(OR(Q48="",E48=""),"",(Q48-E48)/Q48)</f>
        <v/>
      </c>
      <c r="Y48" s="6">
        <f>IF(OR(S48="",E48=""),"",((S48*3500)-E48)/(S48*3500))</f>
        <v/>
      </c>
      <c r="Z48" s="7" t="n"/>
    </row>
    <row r="49">
      <c r="A49" s="2" t="inlineStr">
        <is>
          <t>ANCIENT</t>
        </is>
      </c>
      <c r="B49" s="2" t="inlineStr">
        <is>
          <t>MÍSTICA PAREO</t>
        </is>
      </c>
      <c r="C49" s="2" t="inlineStr">
        <is>
          <t>28RE22/MIST</t>
        </is>
      </c>
      <c r="D49" s="2" t="n">
        <v>8000</v>
      </c>
      <c r="E49" s="3" t="n">
        <v>31578.17142857143</v>
      </c>
      <c r="F49" s="4" t="n">
        <v>11739.386625</v>
      </c>
      <c r="G49" s="3">
        <f>IF(OR(E49="",F49=""),"",E49+F49)</f>
        <v/>
      </c>
      <c r="H49" s="3" t="n">
        <v>51547.89408374999</v>
      </c>
      <c r="I49" s="3" t="n">
        <v>128869.735209375</v>
      </c>
      <c r="J49" s="3" t="n">
        <v>139900</v>
      </c>
      <c r="K49" s="3" t="n">
        <v>67010.9243697479</v>
      </c>
      <c r="L49" s="5" t="n">
        <v>0.3535746826210451</v>
      </c>
      <c r="M49" s="3" t="n">
        <v>82082.50420168067</v>
      </c>
      <c r="N49" s="5" t="n">
        <v>0.4722680737525004</v>
      </c>
      <c r="O49" s="3" t="n">
        <v>127404.5825105042</v>
      </c>
      <c r="P49" s="5" t="n">
        <v>0.66</v>
      </c>
      <c r="Q49" s="3" t="n">
        <v>88200</v>
      </c>
      <c r="R49" s="5" t="n">
        <v>0.5088712238824101</v>
      </c>
      <c r="S49" s="3" t="n">
        <v>93.60000000000001</v>
      </c>
      <c r="T49" s="5" t="n">
        <v>0.867773021814495</v>
      </c>
      <c r="U49" s="6">
        <f>IF(OR(K49="",E49=""),"",(K49-E49)/K49)</f>
        <v/>
      </c>
      <c r="V49" s="6">
        <f>IF(OR(M49="",E49=""),"",(M49-E49)/M49)</f>
        <v/>
      </c>
      <c r="W49" s="6">
        <f>IF(OR(O49="",E49=""),"",(O49-E49)/O49)</f>
        <v/>
      </c>
      <c r="X49" s="6">
        <f>IF(OR(Q49="",E49=""),"",(Q49-E49)/Q49)</f>
        <v/>
      </c>
      <c r="Y49" s="6">
        <f>IF(OR(S49="",E49=""),"",((S49*3500)-E49)/(S49*3500))</f>
        <v/>
      </c>
      <c r="Z49" s="7" t="n"/>
    </row>
    <row r="50">
      <c r="A50" s="2" t="inlineStr">
        <is>
          <t>ANCIENT</t>
        </is>
      </c>
      <c r="B50" s="2" t="inlineStr">
        <is>
          <t>MÍSTICA HEADKERCHIEF</t>
        </is>
      </c>
      <c r="C50" s="2" t="inlineStr">
        <is>
          <t>28KE21/MIST</t>
        </is>
      </c>
      <c r="D50" s="2" t="n">
        <v>8000</v>
      </c>
      <c r="E50" s="3" t="n">
        <v>19794.12</v>
      </c>
      <c r="F50" s="4" t="n">
        <v>3159.75</v>
      </c>
      <c r="G50" s="3">
        <f>IF(OR(E50="",F50=""),"",E50+F50)</f>
        <v/>
      </c>
      <c r="H50" s="3" t="n">
        <v>27315.1053</v>
      </c>
      <c r="I50" s="3" t="n">
        <v>68287.76324999999</v>
      </c>
      <c r="J50" s="3" t="n">
        <v>59900</v>
      </c>
      <c r="K50" s="3" t="n">
        <v>28691.59663865546</v>
      </c>
      <c r="L50" s="5" t="n">
        <v>0.1999793427642562</v>
      </c>
      <c r="M50" s="3" t="n">
        <v>35144.68907563025</v>
      </c>
      <c r="N50" s="5" t="n">
        <v>0.3468751437634289</v>
      </c>
      <c r="O50" s="3" t="n">
        <v>67511.38235294117</v>
      </c>
      <c r="P50" s="5" t="n">
        <v>0.66</v>
      </c>
      <c r="Q50" s="3" t="n">
        <v>39200</v>
      </c>
      <c r="R50" s="5" t="n">
        <v>0.4144420918367347</v>
      </c>
      <c r="S50" s="3" t="n">
        <v>41.6</v>
      </c>
      <c r="T50" s="5" t="n">
        <v>0.842349793956044</v>
      </c>
      <c r="U50" s="6">
        <f>IF(OR(K50="",E50=""),"",(K50-E50)/K50)</f>
        <v/>
      </c>
      <c r="V50" s="6">
        <f>IF(OR(M50="",E50=""),"",(M50-E50)/M50)</f>
        <v/>
      </c>
      <c r="W50" s="6">
        <f>IF(OR(O50="",E50=""),"",(O50-E50)/O50)</f>
        <v/>
      </c>
      <c r="X50" s="6">
        <f>IF(OR(Q50="",E50=""),"",(Q50-E50)/Q50)</f>
        <v/>
      </c>
      <c r="Y50" s="6">
        <f>IF(OR(S50="",E50=""),"",((S50*3500)-E50)/(S50*3500))</f>
        <v/>
      </c>
      <c r="Z50" s="7" t="n"/>
    </row>
    <row r="51">
      <c r="A51" s="2" t="inlineStr">
        <is>
          <t>ANCIENT</t>
        </is>
      </c>
      <c r="B51" s="2" t="inlineStr">
        <is>
          <t>MÍSTICA MESH SHIRT</t>
        </is>
      </c>
      <c r="C51" s="2" t="inlineStr">
        <is>
          <t>28CA36/MIST</t>
        </is>
      </c>
      <c r="D51" s="2" t="n">
        <v>8000</v>
      </c>
      <c r="E51" s="3" t="n">
        <v>32455.55913978495</v>
      </c>
      <c r="F51" s="4" t="n">
        <v>11739.386625</v>
      </c>
      <c r="G51" s="3">
        <f>IF(OR(E51="",F51=""),"",E51+F51)</f>
        <v/>
      </c>
      <c r="H51" s="3" t="n">
        <v>52591.98546009409</v>
      </c>
      <c r="I51" s="3" t="n">
        <v>131479.9636502352</v>
      </c>
      <c r="J51" s="3" t="n">
        <v>129900</v>
      </c>
      <c r="K51" s="3" t="n">
        <v>62221.00840336135</v>
      </c>
      <c r="L51" s="5" t="n">
        <v>0.2897102297301016</v>
      </c>
      <c r="M51" s="3" t="n">
        <v>76215.27731092437</v>
      </c>
      <c r="N51" s="5" t="n">
        <v>0.4201300930194184</v>
      </c>
      <c r="O51" s="3" t="n">
        <v>129985.1346023087</v>
      </c>
      <c r="P51" s="5" t="n">
        <v>0.66</v>
      </c>
      <c r="Q51" s="3" t="n">
        <v>95549.99999999999</v>
      </c>
      <c r="R51" s="5" t="n">
        <v>0.5374678622209842</v>
      </c>
      <c r="S51" s="3" t="n">
        <v>101.4</v>
      </c>
      <c r="T51" s="5" t="n">
        <v>0.8754721167518035</v>
      </c>
      <c r="U51" s="6">
        <f>IF(OR(K51="",E51=""),"",(K51-E51)/K51)</f>
        <v/>
      </c>
      <c r="V51" s="6">
        <f>IF(OR(M51="",E51=""),"",(M51-E51)/M51)</f>
        <v/>
      </c>
      <c r="W51" s="6">
        <f>IF(OR(O51="",E51=""),"",(O51-E51)/O51)</f>
        <v/>
      </c>
      <c r="X51" s="6">
        <f>IF(OR(Q51="",E51=""),"",(Q51-E51)/Q51)</f>
        <v/>
      </c>
      <c r="Y51" s="6">
        <f>IF(OR(S51="",E51=""),"",((S51*3500)-E51)/(S51*3500))</f>
        <v/>
      </c>
      <c r="Z51" s="7" t="n"/>
    </row>
    <row r="52">
      <c r="A52" s="2" t="inlineStr">
        <is>
          <t>ANCIENT</t>
        </is>
      </c>
      <c r="B52" s="2" t="inlineStr">
        <is>
          <t>MÍSTICA T-SHIRT</t>
        </is>
      </c>
      <c r="C52" s="2" t="inlineStr">
        <is>
          <t>28TSH20/MIST</t>
        </is>
      </c>
      <c r="D52" s="2" t="n">
        <v>8000</v>
      </c>
      <c r="E52" s="3" t="n">
        <v>29977.09803921569</v>
      </c>
      <c r="F52" s="4" t="n">
        <v>11739.386625</v>
      </c>
      <c r="G52" s="3">
        <f>IF(OR(E52="",F52=""),"",E52+F52)</f>
        <v/>
      </c>
      <c r="H52" s="3" t="n">
        <v>49642.61675041666</v>
      </c>
      <c r="I52" s="3" t="n">
        <v>124106.5418760417</v>
      </c>
      <c r="J52" s="3" t="n">
        <v>129900</v>
      </c>
      <c r="K52" s="3" t="n">
        <v>62221.00840336135</v>
      </c>
      <c r="L52" s="5" t="n">
        <v>0.3295434173329462</v>
      </c>
      <c r="M52" s="3" t="n">
        <v>76215.27731092437</v>
      </c>
      <c r="N52" s="5" t="n">
        <v>0.4526493094812079</v>
      </c>
      <c r="O52" s="3" t="n">
        <v>122695.5431300461</v>
      </c>
      <c r="P52" s="5" t="n">
        <v>0.6599999999999999</v>
      </c>
      <c r="Q52" s="3" t="n">
        <v>83299.99999999999</v>
      </c>
      <c r="R52" s="5" t="n">
        <v>0.4992018647753218</v>
      </c>
      <c r="S52" s="3" t="n">
        <v>88.40000000000001</v>
      </c>
      <c r="T52" s="5" t="n">
        <v>0.865169732824125</v>
      </c>
      <c r="U52" s="6">
        <f>IF(OR(K52="",E52=""),"",(K52-E52)/K52)</f>
        <v/>
      </c>
      <c r="V52" s="6">
        <f>IF(OR(M52="",E52=""),"",(M52-E52)/M52)</f>
        <v/>
      </c>
      <c r="W52" s="6">
        <f>IF(OR(O52="",E52=""),"",(O52-E52)/O52)</f>
        <v/>
      </c>
      <c r="X52" s="6">
        <f>IF(OR(Q52="",E52=""),"",(Q52-E52)/Q52)</f>
        <v/>
      </c>
      <c r="Y52" s="6">
        <f>IF(OR(S52="",E52=""),"",((S52*3500)-E52)/(S52*3500))</f>
        <v/>
      </c>
      <c r="Z52" s="7" t="n"/>
    </row>
    <row r="53">
      <c r="A53" s="2" t="inlineStr">
        <is>
          <t>ANCIENT</t>
        </is>
      </c>
      <c r="B53" s="2" t="inlineStr">
        <is>
          <t>MÍSTICA CARGO PANTS</t>
        </is>
      </c>
      <c r="C53" s="2" t="inlineStr">
        <is>
          <t>28PA25/MIST</t>
        </is>
      </c>
      <c r="D53" s="2" t="n">
        <v>8000</v>
      </c>
      <c r="E53" s="3" t="n">
        <v>59969.36647619048</v>
      </c>
      <c r="F53" s="4" t="n">
        <v>11739.386625</v>
      </c>
      <c r="G53" s="3">
        <f>IF(OR(E53="",F53=""),"",E53+F53)</f>
        <v/>
      </c>
      <c r="H53" s="3" t="n">
        <v>85333.41619041667</v>
      </c>
      <c r="I53" s="3" t="n">
        <v>213333.5404760416</v>
      </c>
      <c r="J53" s="3" t="n">
        <v>209900</v>
      </c>
      <c r="K53" s="3" t="n">
        <v>100540.3361344538</v>
      </c>
      <c r="L53" s="5" t="n">
        <v>0.2867663282397074</v>
      </c>
      <c r="M53" s="3" t="n">
        <v>123153.0924369748</v>
      </c>
      <c r="N53" s="5" t="n">
        <v>0.4177267360306979</v>
      </c>
      <c r="O53" s="3" t="n">
        <v>210908.0973564426</v>
      </c>
      <c r="P53" s="5" t="n">
        <v>0.66</v>
      </c>
      <c r="Q53" s="3" t="n">
        <v>147000</v>
      </c>
      <c r="R53" s="5" t="n">
        <v>0.512185353053126</v>
      </c>
      <c r="S53" s="3" t="n">
        <v>156</v>
      </c>
      <c r="T53" s="5" t="n">
        <v>0.868665287360457</v>
      </c>
      <c r="U53" s="6">
        <f>IF(OR(K53="",E53=""),"",(K53-E53)/K53)</f>
        <v/>
      </c>
      <c r="V53" s="6">
        <f>IF(OR(M53="",E53=""),"",(M53-E53)/M53)</f>
        <v/>
      </c>
      <c r="W53" s="6">
        <f>IF(OR(O53="",E53=""),"",(O53-E53)/O53)</f>
        <v/>
      </c>
      <c r="X53" s="6">
        <f>IF(OR(Q53="",E53=""),"",(Q53-E53)/Q53)</f>
        <v/>
      </c>
      <c r="Y53" s="6">
        <f>IF(OR(S53="",E53=""),"",((S53*3500)-E53)/(S53*3500))</f>
        <v/>
      </c>
      <c r="Z53" s="7" t="n"/>
    </row>
    <row r="54">
      <c r="A54" s="2" t="inlineStr">
        <is>
          <t>ANCIENT</t>
        </is>
      </c>
      <c r="B54" s="2" t="inlineStr">
        <is>
          <t>MÍSTICA MESH DRESS</t>
        </is>
      </c>
      <c r="C54" s="2" t="inlineStr">
        <is>
          <t>28VE32/MIST</t>
        </is>
      </c>
      <c r="D54" s="2" t="n">
        <v>8000</v>
      </c>
      <c r="E54" s="3" t="n">
        <v>50498.71999999999</v>
      </c>
      <c r="F54" s="4" t="n">
        <v>11739.386625</v>
      </c>
      <c r="G54" s="3">
        <f>IF(OR(E54="",F54=""),"",E54+F54)</f>
        <v/>
      </c>
      <c r="H54" s="3" t="n">
        <v>74063.34688374998</v>
      </c>
      <c r="I54" s="3" t="n">
        <v>185158.367209375</v>
      </c>
      <c r="J54" s="3" t="n">
        <v>179900</v>
      </c>
      <c r="K54" s="3" t="n">
        <v>86170.58823529411</v>
      </c>
      <c r="L54" s="5" t="n">
        <v>0.2777337616048877</v>
      </c>
      <c r="M54" s="3" t="n">
        <v>105551.4117647059</v>
      </c>
      <c r="N54" s="5" t="n">
        <v>0.4103526842090891</v>
      </c>
      <c r="O54" s="3" t="n">
        <v>183053.2547794117</v>
      </c>
      <c r="P54" s="5" t="n">
        <v>0.66</v>
      </c>
      <c r="Q54" s="3" t="n">
        <v>120050</v>
      </c>
      <c r="R54" s="5" t="n">
        <v>0.4815651259891712</v>
      </c>
      <c r="S54" s="3" t="n">
        <v>127.4</v>
      </c>
      <c r="T54" s="5" t="n">
        <v>0.8604213800740076</v>
      </c>
      <c r="U54" s="6">
        <f>IF(OR(K54="",E54=""),"",(K54-E54)/K54)</f>
        <v/>
      </c>
      <c r="V54" s="6">
        <f>IF(OR(M54="",E54=""),"",(M54-E54)/M54)</f>
        <v/>
      </c>
      <c r="W54" s="6">
        <f>IF(OR(O54="",E54=""),"",(O54-E54)/O54)</f>
        <v/>
      </c>
      <c r="X54" s="6">
        <f>IF(OR(Q54="",E54=""),"",(Q54-E54)/Q54)</f>
        <v/>
      </c>
      <c r="Y54" s="6">
        <f>IF(OR(S54="",E54=""),"",((S54*3500)-E54)/(S54*3500))</f>
        <v/>
      </c>
      <c r="Z54" s="7" t="n"/>
    </row>
    <row r="55">
      <c r="A55" s="2" t="inlineStr">
        <is>
          <t>ANCIENT</t>
        </is>
      </c>
      <c r="B55" s="2" t="inlineStr">
        <is>
          <t>I'M YELLOW CLASSIC LONG SHIRT</t>
        </is>
      </c>
      <c r="C55" s="2" t="inlineStr">
        <is>
          <t>28CA41/YEW</t>
        </is>
      </c>
      <c r="D55" s="2" t="n">
        <v>8000</v>
      </c>
      <c r="E55" s="3" t="n">
        <v>48218.46666666667</v>
      </c>
      <c r="F55" s="4" t="n">
        <v>11739.386625</v>
      </c>
      <c r="G55" s="3">
        <f>IF(OR(E55="",F55=""),"",E55+F55)</f>
        <v/>
      </c>
      <c r="H55" s="3" t="n">
        <v>71349.84541708333</v>
      </c>
      <c r="I55" s="3" t="n">
        <v>178374.6135427083</v>
      </c>
      <c r="J55" s="3" t="n">
        <v>159900</v>
      </c>
      <c r="K55" s="3" t="n">
        <v>76590.75630252101</v>
      </c>
      <c r="L55" s="5" t="n">
        <v>0.2171659324678436</v>
      </c>
      <c r="M55" s="3" t="n">
        <v>93816.95798319328</v>
      </c>
      <c r="N55" s="5" t="n">
        <v>0.3609060176262831</v>
      </c>
      <c r="O55" s="3" t="n">
        <v>176346.6273284314</v>
      </c>
      <c r="P55" s="5" t="n">
        <v>0.66</v>
      </c>
      <c r="Q55" s="3" t="n">
        <v>115150</v>
      </c>
      <c r="R55" s="5" t="n">
        <v>0.4793065280793168</v>
      </c>
      <c r="S55" s="3" t="n">
        <v>122.2</v>
      </c>
      <c r="T55" s="5" t="n">
        <v>0.8598132960213546</v>
      </c>
      <c r="U55" s="6">
        <f>IF(OR(K55="",E55=""),"",(K55-E55)/K55)</f>
        <v/>
      </c>
      <c r="V55" s="6">
        <f>IF(OR(M55="",E55=""),"",(M55-E55)/M55)</f>
        <v/>
      </c>
      <c r="W55" s="6">
        <f>IF(OR(O55="",E55=""),"",(O55-E55)/O55)</f>
        <v/>
      </c>
      <c r="X55" s="6">
        <f>IF(OR(Q55="",E55=""),"",(Q55-E55)/Q55)</f>
        <v/>
      </c>
      <c r="Y55" s="6">
        <f>IF(OR(S55="",E55=""),"",((S55*3500)-E55)/(S55*3500))</f>
        <v/>
      </c>
      <c r="Z55" s="7" t="n"/>
    </row>
    <row r="56">
      <c r="A56" s="2" t="inlineStr">
        <is>
          <t>ANCIENT</t>
        </is>
      </c>
      <c r="B56" s="2" t="inlineStr">
        <is>
          <t>I'M IVORY MESH KNIT VEST</t>
        </is>
      </c>
      <c r="C56" s="2" t="inlineStr">
        <is>
          <t>28CA42/IVRY</t>
        </is>
      </c>
      <c r="D56" s="2" t="n">
        <v>8000</v>
      </c>
      <c r="E56" s="3" t="n">
        <v>30257.5625</v>
      </c>
      <c r="F56" s="4" t="n">
        <v>11739.386625</v>
      </c>
      <c r="G56" s="3">
        <f>IF(OR(E56="",F56=""),"",E56+F56)</f>
        <v/>
      </c>
      <c r="H56" s="3" t="n">
        <v>49976.36945875</v>
      </c>
      <c r="I56" s="3" t="n">
        <v>124940.923646875</v>
      </c>
      <c r="J56" s="3" t="n">
        <v>129900</v>
      </c>
      <c r="K56" s="3" t="n">
        <v>62221.00840336135</v>
      </c>
      <c r="L56" s="5" t="n">
        <v>0.3250358648521805</v>
      </c>
      <c r="M56" s="3" t="n">
        <v>76215.27731092437</v>
      </c>
      <c r="N56" s="5" t="n">
        <v>0.4489694112943897</v>
      </c>
      <c r="O56" s="3" t="n">
        <v>123520.4386029412</v>
      </c>
      <c r="P56" s="5" t="n">
        <v>0.66</v>
      </c>
      <c r="Q56" s="3" t="n">
        <v>83299.99999999999</v>
      </c>
      <c r="R56" s="5" t="n">
        <v>0.495834944477791</v>
      </c>
      <c r="S56" s="3" t="n">
        <v>88.40000000000001</v>
      </c>
      <c r="T56" s="5" t="n">
        <v>0.8642632542824823</v>
      </c>
      <c r="U56" s="6">
        <f>IF(OR(K56="",E56=""),"",(K56-E56)/K56)</f>
        <v/>
      </c>
      <c r="V56" s="6">
        <f>IF(OR(M56="",E56=""),"",(M56-E56)/M56)</f>
        <v/>
      </c>
      <c r="W56" s="6">
        <f>IF(OR(O56="",E56=""),"",(O56-E56)/O56)</f>
        <v/>
      </c>
      <c r="X56" s="6">
        <f>IF(OR(Q56="",E56=""),"",(Q56-E56)/Q56)</f>
        <v/>
      </c>
      <c r="Y56" s="6">
        <f>IF(OR(S56="",E56=""),"",((S56*3500)-E56)/(S56*3500))</f>
        <v/>
      </c>
      <c r="Z56" s="7" t="n"/>
    </row>
    <row r="57">
      <c r="A57" s="2" t="inlineStr">
        <is>
          <t>ANCIENT</t>
        </is>
      </c>
      <c r="B57" s="2" t="inlineStr">
        <is>
          <t>I'M IVORY MESH KNIT PANTS</t>
        </is>
      </c>
      <c r="C57" s="2" t="inlineStr">
        <is>
          <t>28PA26/IVRY</t>
        </is>
      </c>
      <c r="D57" s="2" t="n">
        <v>8000</v>
      </c>
      <c r="E57" s="3" t="n">
        <v>37731.55</v>
      </c>
      <c r="F57" s="4" t="n">
        <v>11739.386625</v>
      </c>
      <c r="G57" s="3">
        <f>IF(OR(E57="",F57=""),"",E57+F57)</f>
        <v/>
      </c>
      <c r="H57" s="3" t="n">
        <v>58870.41458375</v>
      </c>
      <c r="I57" s="3" t="n">
        <v>147176.036459375</v>
      </c>
      <c r="J57" s="3" t="n">
        <v>149900</v>
      </c>
      <c r="K57" s="3" t="n">
        <v>71800.84033613445</v>
      </c>
      <c r="L57" s="5" t="n">
        <v>0.3109978045743946</v>
      </c>
      <c r="M57" s="3" t="n">
        <v>87949.73109243697</v>
      </c>
      <c r="N57" s="5" t="n">
        <v>0.4375089495952519</v>
      </c>
      <c r="O57" s="3" t="n">
        <v>145502.7547794118</v>
      </c>
      <c r="P57" s="5" t="n">
        <v>0.66</v>
      </c>
      <c r="Q57" s="3" t="n">
        <v>93099.99999999999</v>
      </c>
      <c r="R57" s="5" t="n">
        <v>0.4686258149838882</v>
      </c>
      <c r="S57" s="3" t="n">
        <v>98.8</v>
      </c>
      <c r="T57" s="5" t="n">
        <v>0.8569377194187392</v>
      </c>
      <c r="U57" s="6">
        <f>IF(OR(K57="",E57=""),"",(K57-E57)/K57)</f>
        <v/>
      </c>
      <c r="V57" s="6">
        <f>IF(OR(M57="",E57=""),"",(M57-E57)/M57)</f>
        <v/>
      </c>
      <c r="W57" s="6">
        <f>IF(OR(O57="",E57=""),"",(O57-E57)/O57)</f>
        <v/>
      </c>
      <c r="X57" s="6">
        <f>IF(OR(Q57="",E57=""),"",(Q57-E57)/Q57)</f>
        <v/>
      </c>
      <c r="Y57" s="6">
        <f>IF(OR(S57="",E57=""),"",((S57*3500)-E57)/(S57*3500))</f>
        <v/>
      </c>
      <c r="Z57" s="7" t="n"/>
    </row>
    <row r="58">
      <c r="A58" s="2" t="inlineStr">
        <is>
          <t>ANCIENT</t>
        </is>
      </c>
      <c r="B58" s="2" t="inlineStr">
        <is>
          <t>MÍSTICA SLEEP SLEEVELESS SHIRT</t>
        </is>
      </c>
      <c r="C58" s="2" t="inlineStr">
        <is>
          <t>284124/MIST</t>
        </is>
      </c>
      <c r="D58" s="2" t="n">
        <v>8000</v>
      </c>
      <c r="E58" s="3" t="n">
        <v>21933.56666666665</v>
      </c>
      <c r="F58" s="4" t="n">
        <v>11739.386625</v>
      </c>
      <c r="G58" s="3">
        <f>IF(OR(E58="",F58=""),"",E58+F58)</f>
        <v/>
      </c>
      <c r="H58" s="3" t="n">
        <v>40070.81441708331</v>
      </c>
      <c r="I58" s="3" t="n">
        <v>100177.0360427083</v>
      </c>
      <c r="J58" s="3" t="n">
        <v>89950</v>
      </c>
      <c r="K58" s="3" t="n">
        <v>43085.29411764706</v>
      </c>
      <c r="L58" s="5" t="n">
        <v>0.2184583166655293</v>
      </c>
      <c r="M58" s="3" t="n">
        <v>52775.70588235294</v>
      </c>
      <c r="N58" s="5" t="n">
        <v>0.3619611006865535</v>
      </c>
      <c r="O58" s="3" t="n">
        <v>99038.09791666661</v>
      </c>
      <c r="P58" s="5" t="n">
        <v>0.6599999999999999</v>
      </c>
      <c r="Q58" s="3" t="n">
        <v>36750</v>
      </c>
      <c r="R58" s="5" t="n">
        <v>0.08372916213151972</v>
      </c>
      <c r="S58" s="3" t="n">
        <v>39</v>
      </c>
      <c r="T58" s="5" t="n">
        <v>0.7533116974969476</v>
      </c>
      <c r="U58" s="6">
        <f>IF(OR(K58="",E58=""),"",(K58-E58)/K58)</f>
        <v/>
      </c>
      <c r="V58" s="6">
        <f>IF(OR(M58="",E58=""),"",(M58-E58)/M58)</f>
        <v/>
      </c>
      <c r="W58" s="6">
        <f>IF(OR(O58="",E58=""),"",(O58-E58)/O58)</f>
        <v/>
      </c>
      <c r="X58" s="6">
        <f>IF(OR(Q58="",E58=""),"",(Q58-E58)/Q58)</f>
        <v/>
      </c>
      <c r="Y58" s="6">
        <f>IF(OR(S58="",E58=""),"",((S58*3500)-E58)/(S58*3500))</f>
        <v/>
      </c>
      <c r="Z58" s="7" t="n"/>
    </row>
    <row r="59">
      <c r="A59" s="2" t="inlineStr">
        <is>
          <t>ANCIENT</t>
        </is>
      </c>
      <c r="B59" s="2" t="inlineStr">
        <is>
          <t>MÍSTICA SLEEP PANTS</t>
        </is>
      </c>
      <c r="C59" s="2" t="inlineStr">
        <is>
          <t>284323/MIST</t>
        </is>
      </c>
      <c r="D59" s="2" t="n">
        <v>8000</v>
      </c>
      <c r="E59" s="3" t="n">
        <v>21933.56666666665</v>
      </c>
      <c r="F59" s="4" t="n">
        <v>11739.386625</v>
      </c>
      <c r="G59" s="3">
        <f>IF(OR(E59="",F59=""),"",E59+F59)</f>
        <v/>
      </c>
      <c r="H59" s="3" t="n">
        <v>40070.81441708331</v>
      </c>
      <c r="I59" s="3" t="n">
        <v>100177.0360427083</v>
      </c>
      <c r="J59" s="3" t="n">
        <v>89950</v>
      </c>
      <c r="K59" s="3" t="n">
        <v>43085.29411764706</v>
      </c>
      <c r="L59" s="5" t="n">
        <v>0.2184583166655293</v>
      </c>
      <c r="M59" s="3" t="n">
        <v>52775.70588235294</v>
      </c>
      <c r="N59" s="5" t="n">
        <v>0.3619611006865535</v>
      </c>
      <c r="O59" s="3" t="n">
        <v>99038.09791666661</v>
      </c>
      <c r="P59" s="5" t="n">
        <v>0.6599999999999999</v>
      </c>
      <c r="Q59" s="3" t="n">
        <v>44100</v>
      </c>
      <c r="R59" s="5" t="n">
        <v>0.2364409684429331</v>
      </c>
      <c r="S59" s="3" t="n">
        <v>46.8</v>
      </c>
      <c r="T59" s="5" t="n">
        <v>0.7944264145807897</v>
      </c>
      <c r="U59" s="6">
        <f>IF(OR(K59="",E59=""),"",(K59-E59)/K59)</f>
        <v/>
      </c>
      <c r="V59" s="6">
        <f>IF(OR(M59="",E59=""),"",(M59-E59)/M59)</f>
        <v/>
      </c>
      <c r="W59" s="6">
        <f>IF(OR(O59="",E59=""),"",(O59-E59)/O59)</f>
        <v/>
      </c>
      <c r="X59" s="6">
        <f>IF(OR(Q59="",E59=""),"",(Q59-E59)/Q59)</f>
        <v/>
      </c>
      <c r="Y59" s="6">
        <f>IF(OR(S59="",E59=""),"",((S59*3500)-E59)/(S59*3500))</f>
        <v/>
      </c>
      <c r="Z59" s="7" t="n"/>
    </row>
    <row r="60">
      <c r="A60" s="2" t="inlineStr">
        <is>
          <t>ANCIENT</t>
        </is>
      </c>
      <c r="B60" s="2" t="inlineStr">
        <is>
          <t>ANCIENT TRIANGLE TOP</t>
        </is>
      </c>
      <c r="C60" s="2" t="inlineStr">
        <is>
          <t>283135/ANCT</t>
        </is>
      </c>
      <c r="D60" s="2" t="n">
        <v>8000</v>
      </c>
      <c r="E60" s="3" t="n">
        <v>30776.65</v>
      </c>
      <c r="F60" s="4" t="n">
        <v>11739.386625</v>
      </c>
      <c r="G60" s="3">
        <f>IF(OR(E60="",F60=""),"",E60+F60)</f>
        <v/>
      </c>
      <c r="H60" s="3" t="n">
        <v>50594.08358375</v>
      </c>
      <c r="I60" s="3" t="n">
        <v>126485.208959375</v>
      </c>
      <c r="J60" s="3" t="n">
        <v>129900</v>
      </c>
      <c r="K60" s="3" t="n">
        <v>62221.00840336135</v>
      </c>
      <c r="L60" s="5" t="n">
        <v>0.3166932244270221</v>
      </c>
      <c r="M60" s="3" t="n">
        <v>76215.27731092437</v>
      </c>
      <c r="N60" s="5" t="n">
        <v>0.4421586048745383</v>
      </c>
      <c r="O60" s="3" t="n">
        <v>125047.1665441176</v>
      </c>
      <c r="P60" s="5" t="n">
        <v>0.6599999999999999</v>
      </c>
      <c r="Q60" s="3" t="n">
        <v>78400</v>
      </c>
      <c r="R60" s="5" t="n">
        <v>0.4577036144770408</v>
      </c>
      <c r="S60" s="3" t="n">
        <v>83.2</v>
      </c>
      <c r="T60" s="5" t="n">
        <v>0.8539971269745879</v>
      </c>
      <c r="U60" s="6">
        <f>IF(OR(K60="",E60=""),"",(K60-E60)/K60)</f>
        <v/>
      </c>
      <c r="V60" s="6">
        <f>IF(OR(M60="",E60=""),"",(M60-E60)/M60)</f>
        <v/>
      </c>
      <c r="W60" s="6">
        <f>IF(OR(O60="",E60=""),"",(O60-E60)/O60)</f>
        <v/>
      </c>
      <c r="X60" s="6">
        <f>IF(OR(Q60="",E60=""),"",(Q60-E60)/Q60)</f>
        <v/>
      </c>
      <c r="Y60" s="6">
        <f>IF(OR(S60="",E60=""),"",((S60*3500)-E60)/(S60*3500))</f>
        <v/>
      </c>
      <c r="Z60" s="7" t="n"/>
    </row>
    <row r="61">
      <c r="A61" s="2" t="inlineStr">
        <is>
          <t>ANCIENT</t>
        </is>
      </c>
      <c r="B61" s="2" t="inlineStr">
        <is>
          <t>ANCIENT STRAP TIE SIDE BOTTOM</t>
        </is>
      </c>
      <c r="C61" s="2" t="inlineStr">
        <is>
          <t>283236/ANCT</t>
        </is>
      </c>
      <c r="D61" s="2" t="n">
        <v>8000</v>
      </c>
      <c r="E61" s="3" t="n">
        <v>28958.3</v>
      </c>
      <c r="F61" s="4" t="n">
        <v>11739.386625</v>
      </c>
      <c r="G61" s="3">
        <f>IF(OR(E61="",F61=""),"",E61+F61)</f>
        <v/>
      </c>
      <c r="H61" s="3" t="n">
        <v>48430.24708375</v>
      </c>
      <c r="I61" s="3" t="n">
        <v>121075.617709375</v>
      </c>
      <c r="J61" s="3" t="n">
        <v>119900</v>
      </c>
      <c r="K61" s="3" t="n">
        <v>57431.09243697478</v>
      </c>
      <c r="L61" s="5" t="n">
        <v>0.2913649227609263</v>
      </c>
      <c r="M61" s="3" t="n">
        <v>70348.05042016806</v>
      </c>
      <c r="N61" s="5" t="n">
        <v>0.4214809595727987</v>
      </c>
      <c r="O61" s="3" t="n">
        <v>119699.0783088235</v>
      </c>
      <c r="P61" s="5" t="n">
        <v>0.66</v>
      </c>
      <c r="Q61" s="3" t="n">
        <v>78400</v>
      </c>
      <c r="R61" s="5" t="n">
        <v>0.4808968542729591</v>
      </c>
      <c r="S61" s="3" t="n">
        <v>83.2</v>
      </c>
      <c r="T61" s="5" t="n">
        <v>0.8602414607657967</v>
      </c>
      <c r="U61" s="6">
        <f>IF(OR(K61="",E61=""),"",(K61-E61)/K61)</f>
        <v/>
      </c>
      <c r="V61" s="6">
        <f>IF(OR(M61="",E61=""),"",(M61-E61)/M61)</f>
        <v/>
      </c>
      <c r="W61" s="6">
        <f>IF(OR(O61="",E61=""),"",(O61-E61)/O61)</f>
        <v/>
      </c>
      <c r="X61" s="6">
        <f>IF(OR(Q61="",E61=""),"",(Q61-E61)/Q61)</f>
        <v/>
      </c>
      <c r="Y61" s="6">
        <f>IF(OR(S61="",E61=""),"",((S61*3500)-E61)/(S61*3500))</f>
        <v/>
      </c>
      <c r="Z61" s="7" t="n"/>
    </row>
    <row r="62">
      <c r="A62" s="2" t="inlineStr">
        <is>
          <t>ANCIENT</t>
        </is>
      </c>
      <c r="B62" s="2" t="inlineStr">
        <is>
          <t>ANCIENT ONE SHOULDER ONE PIECE</t>
        </is>
      </c>
      <c r="C62" s="2" t="inlineStr">
        <is>
          <t>283326/ANCT</t>
        </is>
      </c>
      <c r="D62" s="2" t="n">
        <v>8000</v>
      </c>
      <c r="E62" s="3" t="n">
        <v>51279.725</v>
      </c>
      <c r="F62" s="4" t="n">
        <v>11739.386625</v>
      </c>
      <c r="G62" s="3">
        <f>IF(OR(E62="",F62=""),"",E62+F62)</f>
        <v/>
      </c>
      <c r="H62" s="3" t="n">
        <v>74992.74283374999</v>
      </c>
      <c r="I62" s="3" t="n">
        <v>187481.857084375</v>
      </c>
      <c r="J62" s="3" t="n">
        <v>199900</v>
      </c>
      <c r="K62" s="3" t="n">
        <v>95750.42016806723</v>
      </c>
      <c r="L62" s="5" t="n">
        <v>0.341839842432181</v>
      </c>
      <c r="M62" s="3" t="n">
        <v>117285.8655462185</v>
      </c>
      <c r="N62" s="5" t="n">
        <v>0.4626879263625654</v>
      </c>
      <c r="O62" s="3" t="n">
        <v>185350.3283088235</v>
      </c>
      <c r="P62" s="5" t="n">
        <v>0.66</v>
      </c>
      <c r="Q62" s="3" t="n">
        <v>132300</v>
      </c>
      <c r="R62" s="5" t="n">
        <v>0.5236650670823886</v>
      </c>
      <c r="S62" s="3" t="n">
        <v>140.4</v>
      </c>
      <c r="T62" s="5" t="n">
        <v>0.8717559795991046</v>
      </c>
      <c r="U62" s="6">
        <f>IF(OR(K62="",E62=""),"",(K62-E62)/K62)</f>
        <v/>
      </c>
      <c r="V62" s="6">
        <f>IF(OR(M62="",E62=""),"",(M62-E62)/M62)</f>
        <v/>
      </c>
      <c r="W62" s="6">
        <f>IF(OR(O62="",E62=""),"",(O62-E62)/O62)</f>
        <v/>
      </c>
      <c r="X62" s="6">
        <f>IF(OR(Q62="",E62=""),"",(Q62-E62)/Q62)</f>
        <v/>
      </c>
      <c r="Y62" s="6">
        <f>IF(OR(S62="",E62=""),"",((S62*3500)-E62)/(S62*3500))</f>
        <v/>
      </c>
      <c r="Z62" s="7" t="n"/>
    </row>
    <row r="63">
      <c r="A63" s="2" t="inlineStr">
        <is>
          <t>ANCIENT</t>
        </is>
      </c>
      <c r="B63" s="2" t="inlineStr">
        <is>
          <t>I'M BLACK TRIANGLE TOP</t>
        </is>
      </c>
      <c r="C63" s="2" t="inlineStr">
        <is>
          <t>283135/BLA</t>
        </is>
      </c>
      <c r="D63" s="2" t="n">
        <v>8000</v>
      </c>
      <c r="E63" s="3" t="n">
        <v>28598.525</v>
      </c>
      <c r="F63" s="4" t="n">
        <v>11739.386625</v>
      </c>
      <c r="G63" s="3">
        <f>IF(OR(E63="",F63=""),"",E63+F63)</f>
        <v/>
      </c>
      <c r="H63" s="3" t="n">
        <v>48002.11483375</v>
      </c>
      <c r="I63" s="3" t="n">
        <v>120005.287084375</v>
      </c>
      <c r="J63" s="3" t="n">
        <v>129900</v>
      </c>
      <c r="K63" s="3" t="n">
        <v>62221.00840336135</v>
      </c>
      <c r="L63" s="5" t="n">
        <v>0.3516994876794565</v>
      </c>
      <c r="M63" s="3" t="n">
        <v>76215.27731092437</v>
      </c>
      <c r="N63" s="5" t="n">
        <v>0.4707371927489118</v>
      </c>
      <c r="O63" s="3" t="n">
        <v>118640.9165441176</v>
      </c>
      <c r="P63" s="5" t="n">
        <v>0.6599999999999999</v>
      </c>
      <c r="Q63" s="3" t="n">
        <v>78400</v>
      </c>
      <c r="R63" s="5" t="n">
        <v>0.4854858211096938</v>
      </c>
      <c r="S63" s="3" t="n">
        <v>83.2</v>
      </c>
      <c r="T63" s="5" t="n">
        <v>0.8614769518372253</v>
      </c>
      <c r="U63" s="6">
        <f>IF(OR(K63="",E63=""),"",(K63-E63)/K63)</f>
        <v/>
      </c>
      <c r="V63" s="6">
        <f>IF(OR(M63="",E63=""),"",(M63-E63)/M63)</f>
        <v/>
      </c>
      <c r="W63" s="6">
        <f>IF(OR(O63="",E63=""),"",(O63-E63)/O63)</f>
        <v/>
      </c>
      <c r="X63" s="6">
        <f>IF(OR(Q63="",E63=""),"",(Q63-E63)/Q63)</f>
        <v/>
      </c>
      <c r="Y63" s="6">
        <f>IF(OR(S63="",E63=""),"",((S63*3500)-E63)/(S63*3500))</f>
        <v/>
      </c>
      <c r="Z63" s="7" t="n"/>
    </row>
    <row r="64">
      <c r="A64" s="2" t="inlineStr">
        <is>
          <t>ANCIENT</t>
        </is>
      </c>
      <c r="B64" s="2" t="inlineStr">
        <is>
          <t>I'M BLACK STRAP TIE SIDE BOTTOM</t>
        </is>
      </c>
      <c r="C64" s="2" t="inlineStr">
        <is>
          <t>283236/BLA</t>
        </is>
      </c>
      <c r="D64" s="2" t="n">
        <v>8000</v>
      </c>
      <c r="E64" s="3" t="n">
        <v>26604.9</v>
      </c>
      <c r="F64" s="4" t="n">
        <v>11739.386625</v>
      </c>
      <c r="G64" s="3">
        <f>IF(OR(E64="",F64=""),"",E64+F64)</f>
        <v/>
      </c>
      <c r="H64" s="3" t="n">
        <v>45629.70108375</v>
      </c>
      <c r="I64" s="3" t="n">
        <v>114074.252709375</v>
      </c>
      <c r="J64" s="3" t="n">
        <v>119900</v>
      </c>
      <c r="K64" s="3" t="n">
        <v>57431.09243697478</v>
      </c>
      <c r="L64" s="5" t="n">
        <v>0.33234272590097</v>
      </c>
      <c r="M64" s="3" t="n">
        <v>70348.05042016806</v>
      </c>
      <c r="N64" s="5" t="n">
        <v>0.4549346229784487</v>
      </c>
      <c r="O64" s="3" t="n">
        <v>112777.3136029412</v>
      </c>
      <c r="P64" s="5" t="n">
        <v>0.6599999999999999</v>
      </c>
      <c r="Q64" s="3" t="n">
        <v>78400</v>
      </c>
      <c r="R64" s="5" t="n">
        <v>0.5109147114158163</v>
      </c>
      <c r="S64" s="3" t="n">
        <v>83.2</v>
      </c>
      <c r="T64" s="5" t="n">
        <v>0.8683231915350275</v>
      </c>
      <c r="U64" s="6">
        <f>IF(OR(K64="",E64=""),"",(K64-E64)/K64)</f>
        <v/>
      </c>
      <c r="V64" s="6">
        <f>IF(OR(M64="",E64=""),"",(M64-E64)/M64)</f>
        <v/>
      </c>
      <c r="W64" s="6">
        <f>IF(OR(O64="",E64=""),"",(O64-E64)/O64)</f>
        <v/>
      </c>
      <c r="X64" s="6">
        <f>IF(OR(Q64="",E64=""),"",(Q64-E64)/Q64)</f>
        <v/>
      </c>
      <c r="Y64" s="6">
        <f>IF(OR(S64="",E64=""),"",((S64*3500)-E64)/(S64*3500))</f>
        <v/>
      </c>
      <c r="Z64" s="7" t="n"/>
    </row>
    <row r="65">
      <c r="A65" s="2" t="inlineStr">
        <is>
          <t>ANCIENT</t>
        </is>
      </c>
      <c r="B65" s="2" t="inlineStr">
        <is>
          <t>I'M BLACK V NECK BRALETTE TOP</t>
        </is>
      </c>
      <c r="C65" s="2" t="inlineStr">
        <is>
          <t>283154/BLA</t>
        </is>
      </c>
      <c r="D65" s="2" t="n">
        <v>8000</v>
      </c>
      <c r="E65" s="3" t="n">
        <v>36109.2125</v>
      </c>
      <c r="F65" s="4" t="n">
        <v>11739.386625</v>
      </c>
      <c r="G65" s="3">
        <f>IF(OR(E65="",F65=""),"",E65+F65)</f>
        <v/>
      </c>
      <c r="H65" s="3" t="n">
        <v>56939.83295875</v>
      </c>
      <c r="I65" s="3" t="n">
        <v>142349.582396875</v>
      </c>
      <c r="J65" s="3" t="n">
        <v>139900</v>
      </c>
      <c r="K65" s="3" t="n">
        <v>67010.9243697479</v>
      </c>
      <c r="L65" s="5" t="n">
        <v>0.2859582288257276</v>
      </c>
      <c r="M65" s="3" t="n">
        <v>82082.50420168067</v>
      </c>
      <c r="N65" s="5" t="n">
        <v>0.4170670157987177</v>
      </c>
      <c r="O65" s="3" t="n">
        <v>140731.1738970588</v>
      </c>
      <c r="P65" s="5" t="n">
        <v>0.6599999999999999</v>
      </c>
      <c r="Q65" s="3" t="n">
        <v>88200</v>
      </c>
      <c r="R65" s="5" t="n">
        <v>0.4574988761337868</v>
      </c>
      <c r="S65" s="3" t="n">
        <v>93.60000000000001</v>
      </c>
      <c r="T65" s="5" t="n">
        <v>0.8539420051129426</v>
      </c>
      <c r="U65" s="6">
        <f>IF(OR(K65="",E65=""),"",(K65-E65)/K65)</f>
        <v/>
      </c>
      <c r="V65" s="6">
        <f>IF(OR(M65="",E65=""),"",(M65-E65)/M65)</f>
        <v/>
      </c>
      <c r="W65" s="6">
        <f>IF(OR(O65="",E65=""),"",(O65-E65)/O65)</f>
        <v/>
      </c>
      <c r="X65" s="6">
        <f>IF(OR(Q65="",E65=""),"",(Q65-E65)/Q65)</f>
        <v/>
      </c>
      <c r="Y65" s="6">
        <f>IF(OR(S65="",E65=""),"",((S65*3500)-E65)/(S65*3500))</f>
        <v/>
      </c>
      <c r="Z65" s="7" t="n"/>
    </row>
    <row r="66">
      <c r="A66" s="2" t="inlineStr">
        <is>
          <t>ANCIENT</t>
        </is>
      </c>
      <c r="B66" s="2" t="inlineStr">
        <is>
          <t>I'M BLACK CHEEKY BOTTOM</t>
        </is>
      </c>
      <c r="C66" s="2" t="inlineStr">
        <is>
          <t>283221/BLA</t>
        </is>
      </c>
      <c r="D66" s="2" t="n">
        <v>8000</v>
      </c>
      <c r="E66" s="3" t="n">
        <v>22473.125</v>
      </c>
      <c r="F66" s="4" t="n">
        <v>11739.386625</v>
      </c>
      <c r="G66" s="3">
        <f>IF(OR(E66="",F66=""),"",E66+F66)</f>
        <v/>
      </c>
      <c r="H66" s="3" t="n">
        <v>40712.88883375</v>
      </c>
      <c r="I66" s="3" t="n">
        <v>101782.222084375</v>
      </c>
      <c r="J66" s="3" t="n">
        <v>109900</v>
      </c>
      <c r="K66" s="3" t="n">
        <v>52641.17647058823</v>
      </c>
      <c r="L66" s="5" t="n">
        <v>0.3500807938037769</v>
      </c>
      <c r="M66" s="3" t="n">
        <v>64480.82352941175</v>
      </c>
      <c r="N66" s="5" t="n">
        <v>0.4694157153654437</v>
      </c>
      <c r="O66" s="3" t="n">
        <v>100625.0341911765</v>
      </c>
      <c r="P66" s="5" t="n">
        <v>0.6599999999999999</v>
      </c>
      <c r="Q66" s="3" t="n">
        <v>78400</v>
      </c>
      <c r="R66" s="5" t="n">
        <v>0.5636159231505102</v>
      </c>
      <c r="S66" s="3" t="n">
        <v>83.2</v>
      </c>
      <c r="T66" s="5" t="n">
        <v>0.8825119793097528</v>
      </c>
      <c r="U66" s="6">
        <f>IF(OR(K66="",E66=""),"",(K66-E66)/K66)</f>
        <v/>
      </c>
      <c r="V66" s="6">
        <f>IF(OR(M66="",E66=""),"",(M66-E66)/M66)</f>
        <v/>
      </c>
      <c r="W66" s="6">
        <f>IF(OR(O66="",E66=""),"",(O66-E66)/O66)</f>
        <v/>
      </c>
      <c r="X66" s="6">
        <f>IF(OR(Q66="",E66=""),"",(Q66-E66)/Q66)</f>
        <v/>
      </c>
      <c r="Y66" s="6">
        <f>IF(OR(S66="",E66=""),"",((S66*3500)-E66)/(S66*3500))</f>
        <v/>
      </c>
      <c r="Z66" s="7" t="n"/>
    </row>
    <row r="67">
      <c r="A67" s="2" t="inlineStr">
        <is>
          <t>ANCIENT</t>
        </is>
      </c>
      <c r="B67" s="2" t="inlineStr">
        <is>
          <t>I'M BLACK STRAIGHT ONE PIECE</t>
        </is>
      </c>
      <c r="C67" s="2" t="inlineStr">
        <is>
          <t>283370/BLA</t>
        </is>
      </c>
      <c r="D67" s="2" t="n">
        <v>8000</v>
      </c>
      <c r="E67" s="3" t="n">
        <v>54694</v>
      </c>
      <c r="F67" s="4" t="n">
        <v>11739.386625</v>
      </c>
      <c r="G67" s="3">
        <f>IF(OR(E67="",F67=""),"",E67+F67)</f>
        <v/>
      </c>
      <c r="H67" s="3" t="n">
        <v>79055.73008374999</v>
      </c>
      <c r="I67" s="3" t="n">
        <v>197639.325209375</v>
      </c>
      <c r="J67" s="3" t="n">
        <v>199900</v>
      </c>
      <c r="K67" s="3" t="n">
        <v>95750.42016806723</v>
      </c>
      <c r="L67" s="5" t="n">
        <v>0.3061817743630587</v>
      </c>
      <c r="M67" s="3" t="n">
        <v>117285.8655462185</v>
      </c>
      <c r="N67" s="5" t="n">
        <v>0.433577214819455</v>
      </c>
      <c r="O67" s="3" t="n">
        <v>195392.3136029412</v>
      </c>
      <c r="P67" s="5" t="n">
        <v>0.66</v>
      </c>
      <c r="Q67" s="3" t="n">
        <v>134750</v>
      </c>
      <c r="R67" s="5" t="n">
        <v>0.5069878543599258</v>
      </c>
      <c r="S67" s="3" t="n">
        <v>143</v>
      </c>
      <c r="T67" s="5" t="n">
        <v>0.8672659607892108</v>
      </c>
      <c r="U67" s="6">
        <f>IF(OR(K67="",E67=""),"",(K67-E67)/K67)</f>
        <v/>
      </c>
      <c r="V67" s="6">
        <f>IF(OR(M67="",E67=""),"",(M67-E67)/M67)</f>
        <v/>
      </c>
      <c r="W67" s="6">
        <f>IF(OR(O67="",E67=""),"",(O67-E67)/O67)</f>
        <v/>
      </c>
      <c r="X67" s="6">
        <f>IF(OR(Q67="",E67=""),"",(Q67-E67)/Q67)</f>
        <v/>
      </c>
      <c r="Y67" s="6">
        <f>IF(OR(S67="",E67=""),"",((S67*3500)-E67)/(S67*3500))</f>
        <v/>
      </c>
      <c r="Z67" s="7" t="n"/>
    </row>
    <row r="68">
      <c r="A68" s="2" t="inlineStr">
        <is>
          <t>ANCIENT</t>
        </is>
      </c>
      <c r="B68" s="2" t="inlineStr">
        <is>
          <t>I'M BLACK ASYMMETRIC ONE SHOULDER</t>
        </is>
      </c>
      <c r="C68" s="2" t="inlineStr">
        <is>
          <t>283377/BLA</t>
        </is>
      </c>
      <c r="D68" s="2" t="n">
        <v>8000</v>
      </c>
      <c r="E68" s="3" t="n">
        <v>44962.0875</v>
      </c>
      <c r="F68" s="4" t="n">
        <v>11739.386625</v>
      </c>
      <c r="G68" s="3">
        <f>IF(OR(E68="",F68=""),"",E68+F68)</f>
        <v/>
      </c>
      <c r="H68" s="3" t="n">
        <v>67474.75420875</v>
      </c>
      <c r="I68" s="3" t="n">
        <v>168686.885521875</v>
      </c>
      <c r="J68" s="3" t="n">
        <v>199900</v>
      </c>
      <c r="K68" s="3" t="n">
        <v>95750.42016806723</v>
      </c>
      <c r="L68" s="5" t="n">
        <v>0.4078201012019168</v>
      </c>
      <c r="M68" s="3" t="n">
        <v>117285.8655462185</v>
      </c>
      <c r="N68" s="5" t="n">
        <v>0.5165532192567925</v>
      </c>
      <c r="O68" s="3" t="n">
        <v>166769.0415441176</v>
      </c>
      <c r="P68" s="5" t="n">
        <v>0.6599999999999999</v>
      </c>
      <c r="Q68" s="3" t="n">
        <v>137200</v>
      </c>
      <c r="R68" s="5" t="n">
        <v>0.586723949526239</v>
      </c>
      <c r="S68" s="3" t="n">
        <v>145.6</v>
      </c>
      <c r="T68" s="5" t="n">
        <v>0.8887333710262951</v>
      </c>
      <c r="U68" s="6">
        <f>IF(OR(K68="",E68=""),"",(K68-E68)/K68)</f>
        <v/>
      </c>
      <c r="V68" s="6">
        <f>IF(OR(M68="",E68=""),"",(M68-E68)/M68)</f>
        <v/>
      </c>
      <c r="W68" s="6">
        <f>IF(OR(O68="",E68=""),"",(O68-E68)/O68)</f>
        <v/>
      </c>
      <c r="X68" s="6">
        <f>IF(OR(Q68="",E68=""),"",(Q68-E68)/Q68)</f>
        <v/>
      </c>
      <c r="Y68" s="6">
        <f>IF(OR(S68="",E68=""),"",((S68*3500)-E68)/(S68*3500))</f>
        <v/>
      </c>
      <c r="Z68" s="7" t="n"/>
    </row>
    <row r="69">
      <c r="A69" s="2" t="inlineStr">
        <is>
          <t>ANCIENT</t>
        </is>
      </c>
      <c r="B69" s="2" t="inlineStr">
        <is>
          <t>ANCIENT PAREO</t>
        </is>
      </c>
      <c r="C69" s="2" t="inlineStr">
        <is>
          <t>28RE22/ANCT</t>
        </is>
      </c>
      <c r="D69" s="2" t="n">
        <v>8000</v>
      </c>
      <c r="E69" s="3" t="n">
        <v>31578.17142857143</v>
      </c>
      <c r="F69" s="4" t="n">
        <v>11739.386625</v>
      </c>
      <c r="G69" s="3">
        <f>IF(OR(E69="",F69=""),"",E69+F69)</f>
        <v/>
      </c>
      <c r="H69" s="3" t="n">
        <v>51547.89408374999</v>
      </c>
      <c r="I69" s="3" t="n">
        <v>128869.735209375</v>
      </c>
      <c r="J69" s="3" t="n">
        <v>139900</v>
      </c>
      <c r="K69" s="3" t="n">
        <v>67010.9243697479</v>
      </c>
      <c r="L69" s="5" t="n">
        <v>0.3535746826210451</v>
      </c>
      <c r="M69" s="3" t="n">
        <v>82082.50420168067</v>
      </c>
      <c r="N69" s="5" t="n">
        <v>0.4722680737525004</v>
      </c>
      <c r="O69" s="3" t="n">
        <v>127404.5825105042</v>
      </c>
      <c r="P69" s="5" t="n">
        <v>0.66</v>
      </c>
      <c r="Q69" s="3" t="n">
        <v>88200</v>
      </c>
      <c r="R69" s="5" t="n">
        <v>0.5088712238824101</v>
      </c>
      <c r="S69" s="3" t="n">
        <v>93.60000000000001</v>
      </c>
      <c r="T69" s="5" t="n">
        <v>0.867773021814495</v>
      </c>
      <c r="U69" s="6">
        <f>IF(OR(K69="",E69=""),"",(K69-E69)/K69)</f>
        <v/>
      </c>
      <c r="V69" s="6">
        <f>IF(OR(M69="",E69=""),"",(M69-E69)/M69)</f>
        <v/>
      </c>
      <c r="W69" s="6">
        <f>IF(OR(O69="",E69=""),"",(O69-E69)/O69)</f>
        <v/>
      </c>
      <c r="X69" s="6">
        <f>IF(OR(Q69="",E69=""),"",(Q69-E69)/Q69)</f>
        <v/>
      </c>
      <c r="Y69" s="6">
        <f>IF(OR(S69="",E69=""),"",((S69*3500)-E69)/(S69*3500))</f>
        <v/>
      </c>
      <c r="Z69" s="7" t="n"/>
    </row>
    <row r="70">
      <c r="A70" s="2" t="inlineStr">
        <is>
          <t>ANCIENT</t>
        </is>
      </c>
      <c r="B70" s="2" t="inlineStr">
        <is>
          <t>ANCIENT HEADKERCHIEF</t>
        </is>
      </c>
      <c r="C70" s="2" t="inlineStr">
        <is>
          <t>28KE21/ANCT</t>
        </is>
      </c>
      <c r="D70" s="2" t="n">
        <v>8000</v>
      </c>
      <c r="E70" s="3" t="n">
        <v>19794.12</v>
      </c>
      <c r="F70" s="4" t="n">
        <v>3159.75</v>
      </c>
      <c r="G70" s="3">
        <f>IF(OR(E70="",F70=""),"",E70+F70)</f>
        <v/>
      </c>
      <c r="H70" s="3" t="n">
        <v>27315.1053</v>
      </c>
      <c r="I70" s="3" t="n">
        <v>68287.76324999999</v>
      </c>
      <c r="J70" s="3" t="n">
        <v>59900</v>
      </c>
      <c r="K70" s="3" t="n">
        <v>28691.59663865546</v>
      </c>
      <c r="L70" s="5" t="n">
        <v>0.1999793427642562</v>
      </c>
      <c r="M70" s="3" t="n">
        <v>35144.68907563025</v>
      </c>
      <c r="N70" s="5" t="n">
        <v>0.3468751437634289</v>
      </c>
      <c r="O70" s="3" t="n">
        <v>67511.38235294117</v>
      </c>
      <c r="P70" s="5" t="n">
        <v>0.66</v>
      </c>
      <c r="Q70" s="3" t="n">
        <v>39200</v>
      </c>
      <c r="R70" s="5" t="n">
        <v>0.4144420918367347</v>
      </c>
      <c r="S70" s="3" t="n">
        <v>41.6</v>
      </c>
      <c r="T70" s="5" t="n">
        <v>0.842349793956044</v>
      </c>
      <c r="U70" s="6">
        <f>IF(OR(K70="",E70=""),"",(K70-E70)/K70)</f>
        <v/>
      </c>
      <c r="V70" s="6">
        <f>IF(OR(M70="",E70=""),"",(M70-E70)/M70)</f>
        <v/>
      </c>
      <c r="W70" s="6">
        <f>IF(OR(O70="",E70=""),"",(O70-E70)/O70)</f>
        <v/>
      </c>
      <c r="X70" s="6">
        <f>IF(OR(Q70="",E70=""),"",(Q70-E70)/Q70)</f>
        <v/>
      </c>
      <c r="Y70" s="6">
        <f>IF(OR(S70="",E70=""),"",((S70*3500)-E70)/(S70*3500))</f>
        <v/>
      </c>
      <c r="Z70" s="7" t="n"/>
    </row>
    <row r="71">
      <c r="A71" s="2" t="inlineStr">
        <is>
          <t>ANCIENT</t>
        </is>
      </c>
      <c r="B71" s="2" t="inlineStr">
        <is>
          <t>ANCIENT TOWEL</t>
        </is>
      </c>
      <c r="C71" s="2" t="inlineStr">
        <is>
          <t>28TO27/ANCT</t>
        </is>
      </c>
      <c r="D71" s="2" t="n">
        <v>8000</v>
      </c>
      <c r="E71" s="3" t="n">
        <v>36124.62</v>
      </c>
      <c r="F71" s="4" t="n">
        <v>3159.75</v>
      </c>
      <c r="G71" s="3">
        <f>IF(OR(E71="",F71=""),"",E71+F71)</f>
        <v/>
      </c>
      <c r="H71" s="3" t="n">
        <v>46748.4003</v>
      </c>
      <c r="I71" s="3" t="n">
        <v>116871.00075</v>
      </c>
      <c r="J71" s="3" t="n">
        <v>94000</v>
      </c>
      <c r="K71" s="3" t="n">
        <v>45025.21008403361</v>
      </c>
      <c r="L71" s="5" t="n">
        <v>0.1275027939529675</v>
      </c>
      <c r="M71" s="3" t="n">
        <v>55151.93277310924</v>
      </c>
      <c r="N71" s="5" t="n">
        <v>0.2877063771887589</v>
      </c>
      <c r="O71" s="3" t="n">
        <v>115542.2647058823</v>
      </c>
      <c r="P71" s="5" t="n">
        <v>0.66</v>
      </c>
      <c r="Q71" s="3" t="n">
        <v>83299.99999999999</v>
      </c>
      <c r="R71" s="5" t="n">
        <v>0.528398919567827</v>
      </c>
      <c r="S71" s="3" t="n">
        <v>88.40000000000001</v>
      </c>
      <c r="T71" s="5" t="n">
        <v>0.8730304783451842</v>
      </c>
      <c r="U71" s="6">
        <f>IF(OR(K71="",E71=""),"",(K71-E71)/K71)</f>
        <v/>
      </c>
      <c r="V71" s="6">
        <f>IF(OR(M71="",E71=""),"",(M71-E71)/M71)</f>
        <v/>
      </c>
      <c r="W71" s="6">
        <f>IF(OR(O71="",E71=""),"",(O71-E71)/O71)</f>
        <v/>
      </c>
      <c r="X71" s="6">
        <f>IF(OR(Q71="",E71=""),"",(Q71-E71)/Q71)</f>
        <v/>
      </c>
      <c r="Y71" s="6">
        <f>IF(OR(S71="",E71=""),"",((S71*3500)-E71)/(S71*3500))</f>
        <v/>
      </c>
      <c r="Z71" s="7" t="n"/>
    </row>
    <row r="72">
      <c r="A72" s="2" t="inlineStr">
        <is>
          <t>ANCIENT</t>
        </is>
      </c>
      <c r="B72" s="2" t="inlineStr">
        <is>
          <t>ANCIENT MESH SHIRT</t>
        </is>
      </c>
      <c r="C72" s="2" t="inlineStr">
        <is>
          <t>28CA36/ANCT</t>
        </is>
      </c>
      <c r="D72" s="2" t="n">
        <v>8000</v>
      </c>
      <c r="E72" s="3" t="n">
        <v>32455.55913978495</v>
      </c>
      <c r="F72" s="4" t="n">
        <v>11739.386625</v>
      </c>
      <c r="G72" s="3">
        <f>IF(OR(E72="",F72=""),"",E72+F72)</f>
        <v/>
      </c>
      <c r="H72" s="3" t="n">
        <v>52591.98546009409</v>
      </c>
      <c r="I72" s="3" t="n">
        <v>131479.9636502352</v>
      </c>
      <c r="J72" s="3" t="n">
        <v>129900</v>
      </c>
      <c r="K72" s="3" t="n">
        <v>62221.00840336135</v>
      </c>
      <c r="L72" s="5" t="n">
        <v>0.2897102297301016</v>
      </c>
      <c r="M72" s="3" t="n">
        <v>76215.27731092437</v>
      </c>
      <c r="N72" s="5" t="n">
        <v>0.4201300930194184</v>
      </c>
      <c r="O72" s="3" t="n">
        <v>129985.1346023087</v>
      </c>
      <c r="P72" s="5" t="n">
        <v>0.66</v>
      </c>
      <c r="Q72" s="3" t="n">
        <v>95549.99999999999</v>
      </c>
      <c r="R72" s="5" t="n">
        <v>0.5374678622209842</v>
      </c>
      <c r="S72" s="3" t="n">
        <v>101.4</v>
      </c>
      <c r="T72" s="5" t="n">
        <v>0.8754721167518035</v>
      </c>
      <c r="U72" s="6">
        <f>IF(OR(K72="",E72=""),"",(K72-E72)/K72)</f>
        <v/>
      </c>
      <c r="V72" s="6">
        <f>IF(OR(M72="",E72=""),"",(M72-E72)/M72)</f>
        <v/>
      </c>
      <c r="W72" s="6">
        <f>IF(OR(O72="",E72=""),"",(O72-E72)/O72)</f>
        <v/>
      </c>
      <c r="X72" s="6">
        <f>IF(OR(Q72="",E72=""),"",(Q72-E72)/Q72)</f>
        <v/>
      </c>
      <c r="Y72" s="6">
        <f>IF(OR(S72="",E72=""),"",((S72*3500)-E72)/(S72*3500))</f>
        <v/>
      </c>
      <c r="Z72" s="7" t="n"/>
    </row>
    <row r="73">
      <c r="A73" s="2" t="inlineStr">
        <is>
          <t>ANCIENT</t>
        </is>
      </c>
      <c r="B73" s="2" t="inlineStr">
        <is>
          <t>ANCIENT T-SHIRT</t>
        </is>
      </c>
      <c r="C73" s="2" t="inlineStr">
        <is>
          <t>28TSH20/ANCT</t>
        </is>
      </c>
      <c r="D73" s="2" t="n">
        <v>8000</v>
      </c>
      <c r="E73" s="3" t="n">
        <v>28862.74509803922</v>
      </c>
      <c r="F73" s="4" t="n">
        <v>11739.386625</v>
      </c>
      <c r="G73" s="3">
        <f>IF(OR(E73="",F73=""),"",E73+F73)</f>
        <v/>
      </c>
      <c r="H73" s="3" t="n">
        <v>48316.53675041666</v>
      </c>
      <c r="I73" s="3" t="n">
        <v>120791.3418760417</v>
      </c>
      <c r="J73" s="3" t="n">
        <v>129900</v>
      </c>
      <c r="K73" s="3" t="n">
        <v>62221.00840336135</v>
      </c>
      <c r="L73" s="5" t="n">
        <v>0.3474530104072409</v>
      </c>
      <c r="M73" s="3" t="n">
        <v>76215.27731092437</v>
      </c>
      <c r="N73" s="5" t="n">
        <v>0.4672704324436083</v>
      </c>
      <c r="O73" s="3" t="n">
        <v>119418.0344795271</v>
      </c>
      <c r="P73" s="5" t="n">
        <v>0.6599999999999999</v>
      </c>
      <c r="Q73" s="3" t="n">
        <v>83299.99999999999</v>
      </c>
      <c r="R73" s="5" t="n">
        <v>0.512579451103971</v>
      </c>
      <c r="S73" s="3" t="n">
        <v>88.40000000000001</v>
      </c>
      <c r="T73" s="5" t="n">
        <v>0.8687713906818384</v>
      </c>
      <c r="U73" s="6">
        <f>IF(OR(K73="",E73=""),"",(K73-E73)/K73)</f>
        <v/>
      </c>
      <c r="V73" s="6">
        <f>IF(OR(M73="",E73=""),"",(M73-E73)/M73)</f>
        <v/>
      </c>
      <c r="W73" s="6">
        <f>IF(OR(O73="",E73=""),"",(O73-E73)/O73)</f>
        <v/>
      </c>
      <c r="X73" s="6">
        <f>IF(OR(Q73="",E73=""),"",(Q73-E73)/Q73)</f>
        <v/>
      </c>
      <c r="Y73" s="6">
        <f>IF(OR(S73="",E73=""),"",((S73*3500)-E73)/(S73*3500))</f>
        <v/>
      </c>
      <c r="Z73" s="7" t="n"/>
    </row>
    <row r="74">
      <c r="A74" s="2" t="inlineStr">
        <is>
          <t>ANCIENT</t>
        </is>
      </c>
      <c r="B74" s="2" t="inlineStr">
        <is>
          <t>FUNGI  WHITE T-SHIRT</t>
        </is>
      </c>
      <c r="C74" s="2" t="inlineStr">
        <is>
          <t>28TSH20/FUWH</t>
        </is>
      </c>
      <c r="D74" s="2" t="n">
        <v>8000</v>
      </c>
      <c r="E74" s="3" t="n">
        <v>28862.74509803922</v>
      </c>
      <c r="F74" s="4" t="n">
        <v>11739.386625</v>
      </c>
      <c r="G74" s="3">
        <f>IF(OR(E74="",F74=""),"",E74+F74)</f>
        <v/>
      </c>
      <c r="H74" s="3" t="n">
        <v>48316.53675041666</v>
      </c>
      <c r="I74" s="3" t="n">
        <v>120791.3418760417</v>
      </c>
      <c r="J74" s="3" t="n">
        <v>129900</v>
      </c>
      <c r="K74" s="3" t="n">
        <v>62221.00840336135</v>
      </c>
      <c r="L74" s="5" t="n">
        <v>0.3474530104072409</v>
      </c>
      <c r="M74" s="3" t="n">
        <v>76215.27731092437</v>
      </c>
      <c r="N74" s="5" t="n">
        <v>0.4672704324436083</v>
      </c>
      <c r="O74" s="3" t="n">
        <v>119418.0344795271</v>
      </c>
      <c r="P74" s="5" t="n">
        <v>0.6599999999999999</v>
      </c>
      <c r="Q74" s="3" t="n">
        <v>83299.99999999999</v>
      </c>
      <c r="R74" s="5" t="n">
        <v>0.512579451103971</v>
      </c>
      <c r="S74" s="3" t="n">
        <v>88.40000000000001</v>
      </c>
      <c r="T74" s="5" t="n">
        <v>0.8687713906818384</v>
      </c>
      <c r="U74" s="6">
        <f>IF(OR(K74="",E74=""),"",(K74-E74)/K74)</f>
        <v/>
      </c>
      <c r="V74" s="6">
        <f>IF(OR(M74="",E74=""),"",(M74-E74)/M74)</f>
        <v/>
      </c>
      <c r="W74" s="6">
        <f>IF(OR(O74="",E74=""),"",(O74-E74)/O74)</f>
        <v/>
      </c>
      <c r="X74" s="6">
        <f>IF(OR(Q74="",E74=""),"",(Q74-E74)/Q74)</f>
        <v/>
      </c>
      <c r="Y74" s="6">
        <f>IF(OR(S74="",E74=""),"",((S74*3500)-E74)/(S74*3500))</f>
        <v/>
      </c>
      <c r="Z74" s="7" t="n"/>
    </row>
    <row r="75">
      <c r="A75" s="2" t="inlineStr">
        <is>
          <t>ANCIENT</t>
        </is>
      </c>
      <c r="B75" s="2" t="inlineStr">
        <is>
          <t>FUNGI BLACK T-SHIRT</t>
        </is>
      </c>
      <c r="C75" s="2" t="inlineStr">
        <is>
          <t>28TSH20/FUBL</t>
        </is>
      </c>
      <c r="D75" s="2" t="n">
        <v>8000</v>
      </c>
      <c r="E75" s="3" t="n">
        <v>28862.74509803922</v>
      </c>
      <c r="F75" s="4" t="n">
        <v>11739.386625</v>
      </c>
      <c r="G75" s="3">
        <f>IF(OR(E75="",F75=""),"",E75+F75)</f>
        <v/>
      </c>
      <c r="H75" s="3" t="n">
        <v>48316.53675041666</v>
      </c>
      <c r="I75" s="3" t="n">
        <v>120791.3418760417</v>
      </c>
      <c r="J75" s="3" t="n">
        <v>129900</v>
      </c>
      <c r="K75" s="3" t="n">
        <v>62221.00840336135</v>
      </c>
      <c r="L75" s="5" t="n">
        <v>0.3474530104072409</v>
      </c>
      <c r="M75" s="3" t="n">
        <v>76215.27731092437</v>
      </c>
      <c r="N75" s="5" t="n">
        <v>0.4672704324436083</v>
      </c>
      <c r="O75" s="3" t="n">
        <v>119418.0344795271</v>
      </c>
      <c r="P75" s="5" t="n">
        <v>0.6599999999999999</v>
      </c>
      <c r="Q75" s="3" t="n">
        <v>83299.99999999999</v>
      </c>
      <c r="R75" s="5" t="n">
        <v>0.512579451103971</v>
      </c>
      <c r="S75" s="3" t="n">
        <v>88.40000000000001</v>
      </c>
      <c r="T75" s="5" t="n">
        <v>0.8687713906818384</v>
      </c>
      <c r="U75" s="6">
        <f>IF(OR(K75="",E75=""),"",(K75-E75)/K75)</f>
        <v/>
      </c>
      <c r="V75" s="6">
        <f>IF(OR(M75="",E75=""),"",(M75-E75)/M75)</f>
        <v/>
      </c>
      <c r="W75" s="6">
        <f>IF(OR(O75="",E75=""),"",(O75-E75)/O75)</f>
        <v/>
      </c>
      <c r="X75" s="6">
        <f>IF(OR(Q75="",E75=""),"",(Q75-E75)/Q75)</f>
        <v/>
      </c>
      <c r="Y75" s="6">
        <f>IF(OR(S75="",E75=""),"",((S75*3500)-E75)/(S75*3500))</f>
        <v/>
      </c>
      <c r="Z75" s="7" t="n"/>
    </row>
    <row r="76">
      <c r="A76" s="2" t="inlineStr">
        <is>
          <t>ANCIENT</t>
        </is>
      </c>
      <c r="B76" s="2" t="inlineStr">
        <is>
          <t>ANCIENT CARGO PANTS</t>
        </is>
      </c>
      <c r="C76" s="2" t="inlineStr">
        <is>
          <t>28PA25/ANCT</t>
        </is>
      </c>
      <c r="D76" s="2" t="n">
        <v>8000</v>
      </c>
      <c r="E76" s="3" t="n">
        <v>59969.36647619048</v>
      </c>
      <c r="F76" s="4" t="n">
        <v>11739.386625</v>
      </c>
      <c r="G76" s="3">
        <f>IF(OR(E76="",F76=""),"",E76+F76)</f>
        <v/>
      </c>
      <c r="H76" s="3" t="n">
        <v>85333.41619041667</v>
      </c>
      <c r="I76" s="3" t="n">
        <v>213333.5404760416</v>
      </c>
      <c r="J76" s="3" t="n">
        <v>209900</v>
      </c>
      <c r="K76" s="3" t="n">
        <v>100540.3361344538</v>
      </c>
      <c r="L76" s="5" t="n">
        <v>0.2867663282397074</v>
      </c>
      <c r="M76" s="3" t="n">
        <v>123153.0924369748</v>
      </c>
      <c r="N76" s="5" t="n">
        <v>0.4177267360306979</v>
      </c>
      <c r="O76" s="3" t="n">
        <v>210908.0973564426</v>
      </c>
      <c r="P76" s="5" t="n">
        <v>0.66</v>
      </c>
      <c r="Q76" s="3" t="n">
        <v>147000</v>
      </c>
      <c r="R76" s="5" t="n">
        <v>0.512185353053126</v>
      </c>
      <c r="S76" s="3" t="n">
        <v>156</v>
      </c>
      <c r="T76" s="5" t="n">
        <v>0.868665287360457</v>
      </c>
      <c r="U76" s="6">
        <f>IF(OR(K76="",E76=""),"",(K76-E76)/K76)</f>
        <v/>
      </c>
      <c r="V76" s="6">
        <f>IF(OR(M76="",E76=""),"",(M76-E76)/M76)</f>
        <v/>
      </c>
      <c r="W76" s="6">
        <f>IF(OR(O76="",E76=""),"",(O76-E76)/O76)</f>
        <v/>
      </c>
      <c r="X76" s="6">
        <f>IF(OR(Q76="",E76=""),"",(Q76-E76)/Q76)</f>
        <v/>
      </c>
      <c r="Y76" s="6">
        <f>IF(OR(S76="",E76=""),"",((S76*3500)-E76)/(S76*3500))</f>
        <v/>
      </c>
      <c r="Z76" s="7" t="n"/>
    </row>
    <row r="77">
      <c r="A77" s="2" t="inlineStr">
        <is>
          <t>ANCIENT</t>
        </is>
      </c>
      <c r="B77" s="2" t="inlineStr">
        <is>
          <t>ANCIENT MESH DRESS</t>
        </is>
      </c>
      <c r="C77" s="2" t="inlineStr">
        <is>
          <t>28VE32/ANCT</t>
        </is>
      </c>
      <c r="D77" s="2" t="n">
        <v>8000</v>
      </c>
      <c r="E77" s="3" t="n">
        <v>50498.71999999999</v>
      </c>
      <c r="F77" s="4" t="n">
        <v>11739.386625</v>
      </c>
      <c r="G77" s="3">
        <f>IF(OR(E77="",F77=""),"",E77+F77)</f>
        <v/>
      </c>
      <c r="H77" s="3" t="n">
        <v>74063.34688374998</v>
      </c>
      <c r="I77" s="3" t="n">
        <v>185158.367209375</v>
      </c>
      <c r="J77" s="3" t="n">
        <v>179900</v>
      </c>
      <c r="K77" s="3" t="n">
        <v>86170.58823529411</v>
      </c>
      <c r="L77" s="5" t="n">
        <v>0.2777337616048877</v>
      </c>
      <c r="M77" s="3" t="n">
        <v>105551.4117647059</v>
      </c>
      <c r="N77" s="5" t="n">
        <v>0.4103526842090891</v>
      </c>
      <c r="O77" s="3" t="n">
        <v>183053.2547794117</v>
      </c>
      <c r="P77" s="5" t="n">
        <v>0.66</v>
      </c>
      <c r="Q77" s="3" t="n">
        <v>120050</v>
      </c>
      <c r="R77" s="5" t="n">
        <v>0.4815651259891712</v>
      </c>
      <c r="S77" s="3" t="n">
        <v>127.4</v>
      </c>
      <c r="T77" s="5" t="n">
        <v>0.8604213800740076</v>
      </c>
      <c r="U77" s="6">
        <f>IF(OR(K77="",E77=""),"",(K77-E77)/K77)</f>
        <v/>
      </c>
      <c r="V77" s="6">
        <f>IF(OR(M77="",E77=""),"",(M77-E77)/M77)</f>
        <v/>
      </c>
      <c r="W77" s="6">
        <f>IF(OR(O77="",E77=""),"",(O77-E77)/O77)</f>
        <v/>
      </c>
      <c r="X77" s="6">
        <f>IF(OR(Q77="",E77=""),"",(Q77-E77)/Q77)</f>
        <v/>
      </c>
      <c r="Y77" s="6">
        <f>IF(OR(S77="",E77=""),"",((S77*3500)-E77)/(S77*3500))</f>
        <v/>
      </c>
      <c r="Z77" s="7" t="n"/>
    </row>
    <row r="78">
      <c r="A78" s="2" t="inlineStr">
        <is>
          <t>ANCIENT</t>
        </is>
      </c>
      <c r="B78" s="2" t="inlineStr">
        <is>
          <t>ANCIENT MESH CLASSIC LONG SHIRT</t>
        </is>
      </c>
      <c r="C78" s="2" t="inlineStr">
        <is>
          <t>28CA40/ANCT</t>
        </is>
      </c>
      <c r="D78" s="2" t="n">
        <v>8000</v>
      </c>
      <c r="E78" s="3" t="n">
        <v>41566.525</v>
      </c>
      <c r="F78" s="4" t="n">
        <v>11739.386625</v>
      </c>
      <c r="G78" s="3">
        <f>IF(OR(E78="",F78=""),"",E78+F78)</f>
        <v/>
      </c>
      <c r="H78" s="3" t="n">
        <v>63434.03483375</v>
      </c>
      <c r="I78" s="3" t="n">
        <v>158585.087084375</v>
      </c>
      <c r="J78" s="3" t="n">
        <v>159900</v>
      </c>
      <c r="K78" s="3" t="n">
        <v>76590.75630252101</v>
      </c>
      <c r="L78" s="5" t="n">
        <v>0.3040163826761244</v>
      </c>
      <c r="M78" s="3" t="n">
        <v>93816.95798319328</v>
      </c>
      <c r="N78" s="5" t="n">
        <v>0.4318094215488268</v>
      </c>
      <c r="O78" s="3" t="n">
        <v>156782.0930147059</v>
      </c>
      <c r="P78" s="5" t="n">
        <v>0.6599999999999999</v>
      </c>
      <c r="Q78" s="3" t="n">
        <v>110250</v>
      </c>
      <c r="R78" s="5" t="n">
        <v>0.5164996678004534</v>
      </c>
      <c r="S78" s="3" t="n">
        <v>117</v>
      </c>
      <c r="T78" s="5" t="n">
        <v>0.8698268336385836</v>
      </c>
      <c r="U78" s="6">
        <f>IF(OR(K78="",E78=""),"",(K78-E78)/K78)</f>
        <v/>
      </c>
      <c r="V78" s="6">
        <f>IF(OR(M78="",E78=""),"",(M78-E78)/M78)</f>
        <v/>
      </c>
      <c r="W78" s="6">
        <f>IF(OR(O78="",E78=""),"",(O78-E78)/O78)</f>
        <v/>
      </c>
      <c r="X78" s="6">
        <f>IF(OR(Q78="",E78=""),"",(Q78-E78)/Q78)</f>
        <v/>
      </c>
      <c r="Y78" s="6">
        <f>IF(OR(S78="",E78=""),"",((S78*3500)-E78)/(S78*3500))</f>
        <v/>
      </c>
      <c r="Z78" s="7" t="n"/>
    </row>
    <row r="79">
      <c r="A79" s="2" t="inlineStr">
        <is>
          <t>ANCIENT</t>
        </is>
      </c>
      <c r="B79" s="2" t="inlineStr">
        <is>
          <t>ANCIENT MESH PANTS</t>
        </is>
      </c>
      <c r="C79" s="2" t="inlineStr">
        <is>
          <t>28PA23/ANCT</t>
        </is>
      </c>
      <c r="D79" s="2" t="n">
        <v>8000</v>
      </c>
      <c r="E79" s="3" t="n">
        <v>46514.53</v>
      </c>
      <c r="F79" s="4" t="n">
        <v>11739.386625</v>
      </c>
      <c r="G79" s="3">
        <f>IF(OR(E79="",F79=""),"",E79+F79)</f>
        <v/>
      </c>
      <c r="H79" s="3" t="n">
        <v>69322.16078374999</v>
      </c>
      <c r="I79" s="3" t="n">
        <v>173305.401959375</v>
      </c>
      <c r="J79" s="3" t="n">
        <v>179900</v>
      </c>
      <c r="K79" s="3" t="n">
        <v>86170.58823529411</v>
      </c>
      <c r="L79" s="5" t="n">
        <v>0.3239698391528432</v>
      </c>
      <c r="M79" s="3" t="n">
        <v>105551.4117647059</v>
      </c>
      <c r="N79" s="5" t="n">
        <v>0.4480991239145239</v>
      </c>
      <c r="O79" s="3" t="n">
        <v>171335.0488970588</v>
      </c>
      <c r="P79" s="5" t="n">
        <v>0.66</v>
      </c>
      <c r="Q79" s="3" t="n">
        <v>117600</v>
      </c>
      <c r="R79" s="5" t="n">
        <v>0.5046435661139456</v>
      </c>
      <c r="S79" s="3" t="n">
        <v>124.8</v>
      </c>
      <c r="T79" s="5" t="n">
        <v>0.8666348062614468</v>
      </c>
      <c r="U79" s="6">
        <f>IF(OR(K79="",E79=""),"",(K79-E79)/K79)</f>
        <v/>
      </c>
      <c r="V79" s="6">
        <f>IF(OR(M79="",E79=""),"",(M79-E79)/M79)</f>
        <v/>
      </c>
      <c r="W79" s="6">
        <f>IF(OR(O79="",E79=""),"",(O79-E79)/O79)</f>
        <v/>
      </c>
      <c r="X79" s="6">
        <f>IF(OR(Q79="",E79=""),"",(Q79-E79)/Q79)</f>
        <v/>
      </c>
      <c r="Y79" s="6">
        <f>IF(OR(S79="",E79=""),"",((S79*3500)-E79)/(S79*3500))</f>
        <v/>
      </c>
      <c r="Z79" s="7" t="n"/>
    </row>
    <row r="80">
      <c r="A80" s="2" t="inlineStr">
        <is>
          <t>ANCIENT</t>
        </is>
      </c>
      <c r="B80" s="2" t="inlineStr">
        <is>
          <t>I'M BLACK MESH KNIT VEST</t>
        </is>
      </c>
      <c r="C80" s="2" t="inlineStr">
        <is>
          <t>28CA42/BLA</t>
        </is>
      </c>
      <c r="D80" s="2" t="n">
        <v>8000</v>
      </c>
      <c r="E80" s="3" t="n">
        <v>30257.5625</v>
      </c>
      <c r="F80" s="4" t="n">
        <v>11739.386625</v>
      </c>
      <c r="G80" s="3">
        <f>IF(OR(E80="",F80=""),"",E80+F80)</f>
        <v/>
      </c>
      <c r="H80" s="3" t="n">
        <v>49976.36945875</v>
      </c>
      <c r="I80" s="3" t="n">
        <v>124940.923646875</v>
      </c>
      <c r="J80" s="3" t="n">
        <v>129900</v>
      </c>
      <c r="K80" s="3" t="n">
        <v>62221.00840336135</v>
      </c>
      <c r="L80" s="5" t="n">
        <v>0.3250358648521805</v>
      </c>
      <c r="M80" s="3" t="n">
        <v>76215.27731092437</v>
      </c>
      <c r="N80" s="5" t="n">
        <v>0.4489694112943897</v>
      </c>
      <c r="O80" s="3" t="n">
        <v>123520.4386029412</v>
      </c>
      <c r="P80" s="5" t="n">
        <v>0.66</v>
      </c>
      <c r="Q80" s="3" t="n">
        <v>83299.99999999999</v>
      </c>
      <c r="R80" s="5" t="n">
        <v>0.495834944477791</v>
      </c>
      <c r="S80" s="3" t="n">
        <v>88.40000000000001</v>
      </c>
      <c r="T80" s="5" t="n">
        <v>0.8642632542824823</v>
      </c>
      <c r="U80" s="6">
        <f>IF(OR(K80="",E80=""),"",(K80-E80)/K80)</f>
        <v/>
      </c>
      <c r="V80" s="6">
        <f>IF(OR(M80="",E80=""),"",(M80-E80)/M80)</f>
        <v/>
      </c>
      <c r="W80" s="6">
        <f>IF(OR(O80="",E80=""),"",(O80-E80)/O80)</f>
        <v/>
      </c>
      <c r="X80" s="6">
        <f>IF(OR(Q80="",E80=""),"",(Q80-E80)/Q80)</f>
        <v/>
      </c>
      <c r="Y80" s="6">
        <f>IF(OR(S80="",E80=""),"",((S80*3500)-E80)/(S80*3500))</f>
        <v/>
      </c>
      <c r="Z80" s="7" t="n"/>
    </row>
    <row r="81">
      <c r="A81" s="2" t="inlineStr">
        <is>
          <t>ANCIENT</t>
        </is>
      </c>
      <c r="B81" s="2" t="inlineStr">
        <is>
          <t>I'M BLACK MESH KNIT PANTS</t>
        </is>
      </c>
      <c r="C81" s="2" t="inlineStr">
        <is>
          <t>28PA26/BLA</t>
        </is>
      </c>
      <c r="D81" s="2" t="n">
        <v>8000</v>
      </c>
      <c r="E81" s="3" t="n">
        <v>37731.55</v>
      </c>
      <c r="F81" s="4" t="n">
        <v>11739.386625</v>
      </c>
      <c r="G81" s="3">
        <f>IF(OR(E81="",F81=""),"",E81+F81)</f>
        <v/>
      </c>
      <c r="H81" s="3" t="n">
        <v>58870.41458375</v>
      </c>
      <c r="I81" s="3" t="n">
        <v>147176.036459375</v>
      </c>
      <c r="J81" s="3" t="n">
        <v>149900</v>
      </c>
      <c r="K81" s="3" t="n">
        <v>71800.84033613445</v>
      </c>
      <c r="L81" s="5" t="n">
        <v>0.3109978045743946</v>
      </c>
      <c r="M81" s="3" t="n">
        <v>87949.73109243697</v>
      </c>
      <c r="N81" s="5" t="n">
        <v>0.4375089495952519</v>
      </c>
      <c r="O81" s="3" t="n">
        <v>145502.7547794118</v>
      </c>
      <c r="P81" s="5" t="n">
        <v>0.66</v>
      </c>
      <c r="Q81" s="3" t="n">
        <v>93099.99999999999</v>
      </c>
      <c r="R81" s="5" t="n">
        <v>0.4686258149838882</v>
      </c>
      <c r="S81" s="3" t="n">
        <v>98.8</v>
      </c>
      <c r="T81" s="5" t="n">
        <v>0.8569377194187392</v>
      </c>
      <c r="U81" s="6">
        <f>IF(OR(K81="",E81=""),"",(K81-E81)/K81)</f>
        <v/>
      </c>
      <c r="V81" s="6">
        <f>IF(OR(M81="",E81=""),"",(M81-E81)/M81)</f>
        <v/>
      </c>
      <c r="W81" s="6">
        <f>IF(OR(O81="",E81=""),"",(O81-E81)/O81)</f>
        <v/>
      </c>
      <c r="X81" s="6">
        <f>IF(OR(Q81="",E81=""),"",(Q81-E81)/Q81)</f>
        <v/>
      </c>
      <c r="Y81" s="6">
        <f>IF(OR(S81="",E81=""),"",((S81*3500)-E81)/(S81*3500))</f>
        <v/>
      </c>
      <c r="Z81" s="7" t="n"/>
    </row>
    <row r="82">
      <c r="A82" s="2" t="inlineStr">
        <is>
          <t>ANCIENT</t>
        </is>
      </c>
      <c r="B82" s="2" t="inlineStr">
        <is>
          <t>ANCIENT SLEEP LONG SHIRT</t>
        </is>
      </c>
      <c r="C82" s="2" t="inlineStr">
        <is>
          <t>284121/ANCT</t>
        </is>
      </c>
      <c r="D82" s="2" t="n">
        <v>8000</v>
      </c>
      <c r="E82" s="3" t="n">
        <v>26472.475</v>
      </c>
      <c r="F82" s="4" t="n">
        <v>11739.386625</v>
      </c>
      <c r="G82" s="3">
        <f>IF(OR(E82="",F82=""),"",E82+F82)</f>
        <v/>
      </c>
      <c r="H82" s="3" t="n">
        <v>45472.11533374999</v>
      </c>
      <c r="I82" s="3" t="n">
        <v>113680.288334375</v>
      </c>
      <c r="J82" s="3" t="n">
        <v>94950</v>
      </c>
      <c r="K82" s="3" t="n">
        <v>45480.25210084033</v>
      </c>
      <c r="L82" s="5" t="n">
        <v>0.1598142081474091</v>
      </c>
      <c r="M82" s="3" t="n">
        <v>55709.31932773109</v>
      </c>
      <c r="N82" s="5" t="n">
        <v>0.3140849307419409</v>
      </c>
      <c r="O82" s="3" t="n">
        <v>112387.8283088235</v>
      </c>
      <c r="P82" s="5" t="n">
        <v>0.66</v>
      </c>
      <c r="Q82" s="3" t="n">
        <v>46549.99999999999</v>
      </c>
      <c r="R82" s="5" t="n">
        <v>0.1791221992481202</v>
      </c>
      <c r="S82" s="3" t="n">
        <v>49.4</v>
      </c>
      <c r="T82" s="5" t="n">
        <v>0.7789944382591094</v>
      </c>
      <c r="U82" s="6">
        <f>IF(OR(K82="",E82=""),"",(K82-E82)/K82)</f>
        <v/>
      </c>
      <c r="V82" s="6">
        <f>IF(OR(M82="",E82=""),"",(M82-E82)/M82)</f>
        <v/>
      </c>
      <c r="W82" s="6">
        <f>IF(OR(O82="",E82=""),"",(O82-E82)/O82)</f>
        <v/>
      </c>
      <c r="X82" s="6">
        <f>IF(OR(Q82="",E82=""),"",(Q82-E82)/Q82)</f>
        <v/>
      </c>
      <c r="Y82" s="6">
        <f>IF(OR(S82="",E82=""),"",((S82*3500)-E82)/(S82*3500))</f>
        <v/>
      </c>
      <c r="Z82" s="7" t="n"/>
    </row>
    <row r="83">
      <c r="A83" s="2" t="inlineStr">
        <is>
          <t>ANCIENT</t>
        </is>
      </c>
      <c r="B83" s="2" t="inlineStr">
        <is>
          <t>ANCIENT SLEEP PANTS</t>
        </is>
      </c>
      <c r="C83" s="2" t="inlineStr">
        <is>
          <t>284323/ANCT</t>
        </is>
      </c>
      <c r="D83" s="2" t="n">
        <v>8000</v>
      </c>
      <c r="E83" s="3" t="n">
        <v>26472.475</v>
      </c>
      <c r="F83" s="4" t="n">
        <v>11739.386625</v>
      </c>
      <c r="G83" s="3">
        <f>IF(OR(E83="",F83=""),"",E83+F83)</f>
        <v/>
      </c>
      <c r="H83" s="3" t="n">
        <v>45472.11533374999</v>
      </c>
      <c r="I83" s="3" t="n">
        <v>113680.288334375</v>
      </c>
      <c r="J83" s="3" t="n">
        <v>94950</v>
      </c>
      <c r="K83" s="3" t="n">
        <v>45480.25210084033</v>
      </c>
      <c r="L83" s="5" t="n">
        <v>0.1598142081474091</v>
      </c>
      <c r="M83" s="3" t="n">
        <v>55709.31932773109</v>
      </c>
      <c r="N83" s="5" t="n">
        <v>0.3140849307419409</v>
      </c>
      <c r="O83" s="3" t="n">
        <v>112387.8283088235</v>
      </c>
      <c r="P83" s="5" t="n">
        <v>0.66</v>
      </c>
      <c r="Q83" s="3" t="n">
        <v>44100</v>
      </c>
      <c r="R83" s="5" t="n">
        <v>0.133517876984127</v>
      </c>
      <c r="S83" s="3" t="n">
        <v>46.8</v>
      </c>
      <c r="T83" s="5" t="n">
        <v>0.7667163514957266</v>
      </c>
      <c r="U83" s="6">
        <f>IF(OR(K83="",E83=""),"",(K83-E83)/K83)</f>
        <v/>
      </c>
      <c r="V83" s="6">
        <f>IF(OR(M83="",E83=""),"",(M83-E83)/M83)</f>
        <v/>
      </c>
      <c r="W83" s="6">
        <f>IF(OR(O83="",E83=""),"",(O83-E83)/O83)</f>
        <v/>
      </c>
      <c r="X83" s="6">
        <f>IF(OR(Q83="",E83=""),"",(Q83-E83)/Q83)</f>
        <v/>
      </c>
      <c r="Y83" s="6">
        <f>IF(OR(S83="",E83=""),"",((S83*3500)-E83)/(S83*3500))</f>
        <v/>
      </c>
      <c r="Z83" s="7" t="n"/>
    </row>
    <row r="84">
      <c r="A84" s="2" t="inlineStr">
        <is>
          <t>ANCIENT</t>
        </is>
      </c>
      <c r="B84" s="2" t="inlineStr">
        <is>
          <t>ANCIENT SLEEP SHORT SLEEVELESS SHIRT</t>
        </is>
      </c>
      <c r="C84" s="2" t="inlineStr">
        <is>
          <t>284125/ANCT</t>
        </is>
      </c>
      <c r="D84" s="2" t="n">
        <v>8000</v>
      </c>
      <c r="E84" s="3" t="n">
        <v>20575.8083333333</v>
      </c>
      <c r="F84" s="4" t="n">
        <v>11739.386625</v>
      </c>
      <c r="G84" s="3">
        <f>IF(OR(E84="",F84=""),"",E84+F84)</f>
        <v/>
      </c>
      <c r="H84" s="3" t="n">
        <v>38455.08200041662</v>
      </c>
      <c r="I84" s="3" t="n">
        <v>96137.70500104156</v>
      </c>
      <c r="J84" s="3" t="n">
        <v>89950</v>
      </c>
      <c r="K84" s="3" t="n">
        <v>43085.29411764706</v>
      </c>
      <c r="L84" s="5" t="n">
        <v>0.2499715826450049</v>
      </c>
      <c r="M84" s="3" t="n">
        <v>52775.70588235294</v>
      </c>
      <c r="N84" s="5" t="n">
        <v>0.3876880580172627</v>
      </c>
      <c r="O84" s="3" t="n">
        <v>95044.69105392147</v>
      </c>
      <c r="P84" s="5" t="n">
        <v>0.6599999999999999</v>
      </c>
      <c r="Q84" s="3" t="n">
        <v>36750</v>
      </c>
      <c r="R84" s="5" t="n">
        <v>0.1206749671201823</v>
      </c>
      <c r="S84" s="3" t="n">
        <v>39</v>
      </c>
      <c r="T84" s="5" t="n">
        <v>0.7632586449938952</v>
      </c>
      <c r="U84" s="6">
        <f>IF(OR(K84="",E84=""),"",(K84-E84)/K84)</f>
        <v/>
      </c>
      <c r="V84" s="6">
        <f>IF(OR(M84="",E84=""),"",(M84-E84)/M84)</f>
        <v/>
      </c>
      <c r="W84" s="6">
        <f>IF(OR(O84="",E84=""),"",(O84-E84)/O84)</f>
        <v/>
      </c>
      <c r="X84" s="6">
        <f>IF(OR(Q84="",E84=""),"",(Q84-E84)/Q84)</f>
        <v/>
      </c>
      <c r="Y84" s="6">
        <f>IF(OR(S84="",E84=""),"",((S84*3500)-E84)/(S84*3500))</f>
        <v/>
      </c>
      <c r="Z84" s="7" t="n"/>
    </row>
    <row r="85">
      <c r="A85" s="2" t="inlineStr">
        <is>
          <t>ANCIENT</t>
        </is>
      </c>
      <c r="B85" s="2" t="inlineStr">
        <is>
          <t>ANCIENT SLEEP SHORT</t>
        </is>
      </c>
      <c r="C85" s="2" t="inlineStr">
        <is>
          <t>284222/ANCT</t>
        </is>
      </c>
      <c r="D85" s="2" t="n">
        <v>8000</v>
      </c>
      <c r="E85" s="3" t="n">
        <v>20575.8083333333</v>
      </c>
      <c r="F85" s="4" t="n">
        <v>11739.386625</v>
      </c>
      <c r="G85" s="3">
        <f>IF(OR(E85="",F85=""),"",E85+F85)</f>
        <v/>
      </c>
      <c r="H85" s="3" t="n">
        <v>38455.08200041662</v>
      </c>
      <c r="I85" s="3" t="n">
        <v>96137.70500104156</v>
      </c>
      <c r="J85" s="3" t="n">
        <v>89950</v>
      </c>
      <c r="K85" s="3" t="n">
        <v>43085.29411764706</v>
      </c>
      <c r="L85" s="5" t="n">
        <v>0.2499715826450049</v>
      </c>
      <c r="M85" s="3" t="n">
        <v>52775.70588235294</v>
      </c>
      <c r="N85" s="5" t="n">
        <v>0.3876880580172627</v>
      </c>
      <c r="O85" s="3" t="n">
        <v>95044.69105392147</v>
      </c>
      <c r="P85" s="5" t="n">
        <v>0.6599999999999999</v>
      </c>
      <c r="Q85" s="3" t="n">
        <v>39200</v>
      </c>
      <c r="R85" s="5" t="n">
        <v>0.1756327816751709</v>
      </c>
      <c r="S85" s="3" t="n">
        <v>41.6</v>
      </c>
      <c r="T85" s="5" t="n">
        <v>0.7780549796817767</v>
      </c>
      <c r="U85" s="6">
        <f>IF(OR(K85="",E85=""),"",(K85-E85)/K85)</f>
        <v/>
      </c>
      <c r="V85" s="6">
        <f>IF(OR(M85="",E85=""),"",(M85-E85)/M85)</f>
        <v/>
      </c>
      <c r="W85" s="6">
        <f>IF(OR(O85="",E85=""),"",(O85-E85)/O85)</f>
        <v/>
      </c>
      <c r="X85" s="6">
        <f>IF(OR(Q85="",E85=""),"",(Q85-E85)/Q85)</f>
        <v/>
      </c>
      <c r="Y85" s="6">
        <f>IF(OR(S85="",E85=""),"",((S85*3500)-E85)/(S85*3500))</f>
        <v/>
      </c>
      <c r="Z85" s="7" t="n"/>
    </row>
    <row r="86">
      <c r="A86" s="2" t="inlineStr">
        <is>
          <t>ANCIENT</t>
        </is>
      </c>
      <c r="B86" s="2" t="inlineStr">
        <is>
          <t>SOLAR TRIANGLE TOP</t>
        </is>
      </c>
      <c r="C86" s="2" t="inlineStr">
        <is>
          <t>283135/SLR</t>
        </is>
      </c>
      <c r="D86" s="2" t="n">
        <v>8000</v>
      </c>
      <c r="E86" s="3" t="n">
        <v>30776.65</v>
      </c>
      <c r="F86" s="4" t="n">
        <v>11739.386625</v>
      </c>
      <c r="G86" s="3">
        <f>IF(OR(E86="",F86=""),"",E86+F86)</f>
        <v/>
      </c>
      <c r="H86" s="3" t="n">
        <v>50594.08358375</v>
      </c>
      <c r="I86" s="3" t="n">
        <v>126485.208959375</v>
      </c>
      <c r="J86" s="3" t="n">
        <v>129900</v>
      </c>
      <c r="K86" s="3" t="n">
        <v>62221.00840336135</v>
      </c>
      <c r="L86" s="5" t="n">
        <v>0.3166932244270221</v>
      </c>
      <c r="M86" s="3" t="n">
        <v>76215.27731092437</v>
      </c>
      <c r="N86" s="5" t="n">
        <v>0.4421586048745383</v>
      </c>
      <c r="O86" s="3" t="n">
        <v>125047.1665441176</v>
      </c>
      <c r="P86" s="5" t="n">
        <v>0.6599999999999999</v>
      </c>
      <c r="Q86" s="3" t="n">
        <v>78400</v>
      </c>
      <c r="R86" s="5" t="n">
        <v>0.4577036144770408</v>
      </c>
      <c r="S86" s="3" t="n">
        <v>83.2</v>
      </c>
      <c r="T86" s="5" t="n">
        <v>0.8539971269745879</v>
      </c>
      <c r="U86" s="6">
        <f>IF(OR(K86="",E86=""),"",(K86-E86)/K86)</f>
        <v/>
      </c>
      <c r="V86" s="6">
        <f>IF(OR(M86="",E86=""),"",(M86-E86)/M86)</f>
        <v/>
      </c>
      <c r="W86" s="6">
        <f>IF(OR(O86="",E86=""),"",(O86-E86)/O86)</f>
        <v/>
      </c>
      <c r="X86" s="6">
        <f>IF(OR(Q86="",E86=""),"",(Q86-E86)/Q86)</f>
        <v/>
      </c>
      <c r="Y86" s="6">
        <f>IF(OR(S86="",E86=""),"",((S86*3500)-E86)/(S86*3500))</f>
        <v/>
      </c>
      <c r="Z86" s="7" t="n"/>
    </row>
    <row r="87">
      <c r="A87" s="2" t="inlineStr">
        <is>
          <t>ANCIENT</t>
        </is>
      </c>
      <c r="B87" s="2" t="inlineStr">
        <is>
          <t>SOLAR STRAP TIE SIDE BOTTOM</t>
        </is>
      </c>
      <c r="C87" s="2" t="inlineStr">
        <is>
          <t>283236/SLR</t>
        </is>
      </c>
      <c r="D87" s="2" t="n">
        <v>8000</v>
      </c>
      <c r="E87" s="3" t="n">
        <v>28958.3</v>
      </c>
      <c r="F87" s="4" t="n">
        <v>11739.386625</v>
      </c>
      <c r="G87" s="3">
        <f>IF(OR(E87="",F87=""),"",E87+F87)</f>
        <v/>
      </c>
      <c r="H87" s="3" t="n">
        <v>48430.24708375</v>
      </c>
      <c r="I87" s="3" t="n">
        <v>121075.617709375</v>
      </c>
      <c r="J87" s="3" t="n">
        <v>119900</v>
      </c>
      <c r="K87" s="3" t="n">
        <v>57431.09243697478</v>
      </c>
      <c r="L87" s="5" t="n">
        <v>0.2913649227609263</v>
      </c>
      <c r="M87" s="3" t="n">
        <v>70348.05042016806</v>
      </c>
      <c r="N87" s="5" t="n">
        <v>0.4214809595727987</v>
      </c>
      <c r="O87" s="3" t="n">
        <v>119699.0783088235</v>
      </c>
      <c r="P87" s="5" t="n">
        <v>0.66</v>
      </c>
      <c r="Q87" s="3" t="n">
        <v>78400</v>
      </c>
      <c r="R87" s="5" t="n">
        <v>0.4808968542729591</v>
      </c>
      <c r="S87" s="3" t="n">
        <v>83.2</v>
      </c>
      <c r="T87" s="5" t="n">
        <v>0.8602414607657967</v>
      </c>
      <c r="U87" s="6">
        <f>IF(OR(K87="",E87=""),"",(K87-E87)/K87)</f>
        <v/>
      </c>
      <c r="V87" s="6">
        <f>IF(OR(M87="",E87=""),"",(M87-E87)/M87)</f>
        <v/>
      </c>
      <c r="W87" s="6">
        <f>IF(OR(O87="",E87=""),"",(O87-E87)/O87)</f>
        <v/>
      </c>
      <c r="X87" s="6">
        <f>IF(OR(Q87="",E87=""),"",(Q87-E87)/Q87)</f>
        <v/>
      </c>
      <c r="Y87" s="6">
        <f>IF(OR(S87="",E87=""),"",((S87*3500)-E87)/(S87*3500))</f>
        <v/>
      </c>
      <c r="Z87" s="7" t="n"/>
    </row>
    <row r="88">
      <c r="A88" s="2" t="inlineStr">
        <is>
          <t>ANCIENT</t>
        </is>
      </c>
      <c r="B88" s="2" t="inlineStr">
        <is>
          <t>SOLAR ONE SHOULDER ONE PIECE</t>
        </is>
      </c>
      <c r="C88" s="2" t="inlineStr">
        <is>
          <t>283326/SLR</t>
        </is>
      </c>
      <c r="D88" s="2" t="n">
        <v>8000</v>
      </c>
      <c r="E88" s="3" t="n">
        <v>51279.725</v>
      </c>
      <c r="F88" s="4" t="n">
        <v>11739.386625</v>
      </c>
      <c r="G88" s="3">
        <f>IF(OR(E88="",F88=""),"",E88+F88)</f>
        <v/>
      </c>
      <c r="H88" s="3" t="n">
        <v>74992.74283374999</v>
      </c>
      <c r="I88" s="3" t="n">
        <v>187481.857084375</v>
      </c>
      <c r="J88" s="3" t="n">
        <v>199900</v>
      </c>
      <c r="K88" s="3" t="n">
        <v>95750.42016806723</v>
      </c>
      <c r="L88" s="5" t="n">
        <v>0.341839842432181</v>
      </c>
      <c r="M88" s="3" t="n">
        <v>117285.8655462185</v>
      </c>
      <c r="N88" s="5" t="n">
        <v>0.4626879263625654</v>
      </c>
      <c r="O88" s="3" t="n">
        <v>185350.3283088235</v>
      </c>
      <c r="P88" s="5" t="n">
        <v>0.66</v>
      </c>
      <c r="Q88" s="3" t="n">
        <v>132300</v>
      </c>
      <c r="R88" s="5" t="n">
        <v>0.5236650670823886</v>
      </c>
      <c r="S88" s="3" t="n">
        <v>140.4</v>
      </c>
      <c r="T88" s="5" t="n">
        <v>0.8717559795991046</v>
      </c>
      <c r="U88" s="6">
        <f>IF(OR(K88="",E88=""),"",(K88-E88)/K88)</f>
        <v/>
      </c>
      <c r="V88" s="6">
        <f>IF(OR(M88="",E88=""),"",(M88-E88)/M88)</f>
        <v/>
      </c>
      <c r="W88" s="6">
        <f>IF(OR(O88="",E88=""),"",(O88-E88)/O88)</f>
        <v/>
      </c>
      <c r="X88" s="6">
        <f>IF(OR(Q88="",E88=""),"",(Q88-E88)/Q88)</f>
        <v/>
      </c>
      <c r="Y88" s="6">
        <f>IF(OR(S88="",E88=""),"",((S88*3500)-E88)/(S88*3500))</f>
        <v/>
      </c>
      <c r="Z88" s="7" t="n"/>
    </row>
    <row r="89">
      <c r="A89" s="2" t="inlineStr">
        <is>
          <t>ANCIENT</t>
        </is>
      </c>
      <c r="B89" s="2" t="inlineStr">
        <is>
          <t>SOLAR PAREO</t>
        </is>
      </c>
      <c r="C89" s="2" t="inlineStr">
        <is>
          <t>28RE22/SLR</t>
        </is>
      </c>
      <c r="D89" s="2" t="n">
        <v>8000</v>
      </c>
      <c r="E89" s="3" t="n">
        <v>31578.17142857143</v>
      </c>
      <c r="F89" s="4" t="n">
        <v>11739.386625</v>
      </c>
      <c r="G89" s="3">
        <f>IF(OR(E89="",F89=""),"",E89+F89)</f>
        <v/>
      </c>
      <c r="H89" s="3" t="n">
        <v>51547.89408374999</v>
      </c>
      <c r="I89" s="3" t="n">
        <v>128869.735209375</v>
      </c>
      <c r="J89" s="3" t="n">
        <v>139900</v>
      </c>
      <c r="K89" s="3" t="n">
        <v>67010.9243697479</v>
      </c>
      <c r="L89" s="5" t="n">
        <v>0.3535746826210451</v>
      </c>
      <c r="M89" s="3" t="n">
        <v>82082.50420168067</v>
      </c>
      <c r="N89" s="5" t="n">
        <v>0.4722680737525004</v>
      </c>
      <c r="O89" s="3" t="n">
        <v>127404.5825105042</v>
      </c>
      <c r="P89" s="5" t="n">
        <v>0.66</v>
      </c>
      <c r="Q89" s="3" t="n">
        <v>88200</v>
      </c>
      <c r="R89" s="5" t="n">
        <v>0.5088712238824101</v>
      </c>
      <c r="S89" s="3" t="n">
        <v>93.60000000000001</v>
      </c>
      <c r="T89" s="5" t="n">
        <v>0.867773021814495</v>
      </c>
      <c r="U89" s="6">
        <f>IF(OR(K89="",E89=""),"",(K89-E89)/K89)</f>
        <v/>
      </c>
      <c r="V89" s="6">
        <f>IF(OR(M89="",E89=""),"",(M89-E89)/M89)</f>
        <v/>
      </c>
      <c r="W89" s="6">
        <f>IF(OR(O89="",E89=""),"",(O89-E89)/O89)</f>
        <v/>
      </c>
      <c r="X89" s="6">
        <f>IF(OR(Q89="",E89=""),"",(Q89-E89)/Q89)</f>
        <v/>
      </c>
      <c r="Y89" s="6">
        <f>IF(OR(S89="",E89=""),"",((S89*3500)-E89)/(S89*3500))</f>
        <v/>
      </c>
      <c r="Z89" s="7" t="n"/>
    </row>
    <row r="90">
      <c r="A90" s="2" t="inlineStr">
        <is>
          <t>ANCIENT</t>
        </is>
      </c>
      <c r="B90" s="2" t="inlineStr">
        <is>
          <t>SOLAR HEADKERCHIEF</t>
        </is>
      </c>
      <c r="C90" s="2" t="inlineStr">
        <is>
          <t>28KE21/SLR</t>
        </is>
      </c>
      <c r="D90" s="2" t="n">
        <v>8000</v>
      </c>
      <c r="E90" s="3" t="n">
        <v>19794.12</v>
      </c>
      <c r="F90" s="4" t="n">
        <v>3159.75</v>
      </c>
      <c r="G90" s="3">
        <f>IF(OR(E90="",F90=""),"",E90+F90)</f>
        <v/>
      </c>
      <c r="H90" s="3" t="n">
        <v>27315.1053</v>
      </c>
      <c r="I90" s="3" t="n">
        <v>68287.76324999999</v>
      </c>
      <c r="J90" s="3" t="n">
        <v>59900</v>
      </c>
      <c r="K90" s="3" t="n">
        <v>28691.59663865546</v>
      </c>
      <c r="L90" s="5" t="n">
        <v>0.1999793427642562</v>
      </c>
      <c r="M90" s="3" t="n">
        <v>35144.68907563025</v>
      </c>
      <c r="N90" s="5" t="n">
        <v>0.3468751437634289</v>
      </c>
      <c r="O90" s="3" t="n">
        <v>67511.38235294117</v>
      </c>
      <c r="P90" s="5" t="n">
        <v>0.66</v>
      </c>
      <c r="Q90" s="3" t="n">
        <v>39200</v>
      </c>
      <c r="R90" s="5" t="n">
        <v>0.4144420918367347</v>
      </c>
      <c r="S90" s="3" t="n">
        <v>41.6</v>
      </c>
      <c r="T90" s="5" t="n">
        <v>0.842349793956044</v>
      </c>
      <c r="U90" s="6">
        <f>IF(OR(K90="",E90=""),"",(K90-E90)/K90)</f>
        <v/>
      </c>
      <c r="V90" s="6">
        <f>IF(OR(M90="",E90=""),"",(M90-E90)/M90)</f>
        <v/>
      </c>
      <c r="W90" s="6">
        <f>IF(OR(O90="",E90=""),"",(O90-E90)/O90)</f>
        <v/>
      </c>
      <c r="X90" s="6">
        <f>IF(OR(Q90="",E90=""),"",(Q90-E90)/Q90)</f>
        <v/>
      </c>
      <c r="Y90" s="6">
        <f>IF(OR(S90="",E90=""),"",((S90*3500)-E90)/(S90*3500))</f>
        <v/>
      </c>
      <c r="Z90" s="7" t="n"/>
    </row>
    <row r="91">
      <c r="A91" s="2" t="inlineStr">
        <is>
          <t>ANCIENT</t>
        </is>
      </c>
      <c r="B91" s="2" t="inlineStr">
        <is>
          <t>SOLAR MESH SHIRT</t>
        </is>
      </c>
      <c r="C91" s="2" t="inlineStr">
        <is>
          <t>28CA36/SLR</t>
        </is>
      </c>
      <c r="D91" s="2" t="n">
        <v>8000</v>
      </c>
      <c r="E91" s="3" t="n">
        <v>32455.55913978495</v>
      </c>
      <c r="F91" s="4" t="n">
        <v>11739.386625</v>
      </c>
      <c r="G91" s="3">
        <f>IF(OR(E91="",F91=""),"",E91+F91)</f>
        <v/>
      </c>
      <c r="H91" s="3" t="n">
        <v>52591.98546009409</v>
      </c>
      <c r="I91" s="3" t="n">
        <v>131479.9636502352</v>
      </c>
      <c r="J91" s="3" t="n">
        <v>129900</v>
      </c>
      <c r="K91" s="3" t="n">
        <v>62221.00840336135</v>
      </c>
      <c r="L91" s="5" t="n">
        <v>0.2897102297301016</v>
      </c>
      <c r="M91" s="3" t="n">
        <v>76215.27731092437</v>
      </c>
      <c r="N91" s="5" t="n">
        <v>0.4201300930194184</v>
      </c>
      <c r="O91" s="3" t="n">
        <v>129985.1346023087</v>
      </c>
      <c r="P91" s="5" t="n">
        <v>0.66</v>
      </c>
      <c r="Q91" s="3" t="n">
        <v>95549.99999999999</v>
      </c>
      <c r="R91" s="5" t="n">
        <v>0.5374678622209842</v>
      </c>
      <c r="S91" s="3" t="n">
        <v>101.4</v>
      </c>
      <c r="T91" s="5" t="n">
        <v>0.8754721167518035</v>
      </c>
      <c r="U91" s="6">
        <f>IF(OR(K91="",E91=""),"",(K91-E91)/K91)</f>
        <v/>
      </c>
      <c r="V91" s="6">
        <f>IF(OR(M91="",E91=""),"",(M91-E91)/M91)</f>
        <v/>
      </c>
      <c r="W91" s="6">
        <f>IF(OR(O91="",E91=""),"",(O91-E91)/O91)</f>
        <v/>
      </c>
      <c r="X91" s="6">
        <f>IF(OR(Q91="",E91=""),"",(Q91-E91)/Q91)</f>
        <v/>
      </c>
      <c r="Y91" s="6">
        <f>IF(OR(S91="",E91=""),"",((S91*3500)-E91)/(S91*3500))</f>
        <v/>
      </c>
      <c r="Z91" s="7" t="n"/>
    </row>
    <row r="92">
      <c r="A92" s="2" t="inlineStr">
        <is>
          <t>ANCIENT</t>
        </is>
      </c>
      <c r="B92" s="2" t="inlineStr">
        <is>
          <t>SOLAR MESH LONG SHIRT</t>
        </is>
      </c>
      <c r="C92" s="2" t="inlineStr">
        <is>
          <t>28CA32/SLR</t>
        </is>
      </c>
      <c r="D92" s="2" t="n">
        <v>8000</v>
      </c>
      <c r="E92" s="3" t="n">
        <v>28668.93333333333</v>
      </c>
      <c r="F92" s="4" t="n">
        <v>11739.386625</v>
      </c>
      <c r="G92" s="3">
        <f>IF(OR(E92="",F92=""),"",E92+F92)</f>
        <v/>
      </c>
      <c r="H92" s="3" t="n">
        <v>48085.90075041667</v>
      </c>
      <c r="I92" s="3" t="n">
        <v>120214.7518760417</v>
      </c>
      <c r="J92" s="3" t="n">
        <v>119900</v>
      </c>
      <c r="K92" s="3" t="n">
        <v>57431.09243697478</v>
      </c>
      <c r="L92" s="5" t="n">
        <v>0.2964034246313935</v>
      </c>
      <c r="M92" s="3" t="n">
        <v>70348.05042016806</v>
      </c>
      <c r="N92" s="5" t="n">
        <v>0.4255943168718051</v>
      </c>
      <c r="O92" s="3" t="n">
        <v>118847.999877451</v>
      </c>
      <c r="P92" s="5" t="n">
        <v>0.66</v>
      </c>
      <c r="Q92" s="3" t="n">
        <v>93099.99999999999</v>
      </c>
      <c r="R92" s="5" t="n">
        <v>0.5659686363229501</v>
      </c>
      <c r="S92" s="3" t="n">
        <v>98.8</v>
      </c>
      <c r="T92" s="5" t="n">
        <v>0.8831454020869481</v>
      </c>
      <c r="U92" s="6">
        <f>IF(OR(K92="",E92=""),"",(K92-E92)/K92)</f>
        <v/>
      </c>
      <c r="V92" s="6">
        <f>IF(OR(M92="",E92=""),"",(M92-E92)/M92)</f>
        <v/>
      </c>
      <c r="W92" s="6">
        <f>IF(OR(O92="",E92=""),"",(O92-E92)/O92)</f>
        <v/>
      </c>
      <c r="X92" s="6">
        <f>IF(OR(Q92="",E92=""),"",(Q92-E92)/Q92)</f>
        <v/>
      </c>
      <c r="Y92" s="6">
        <f>IF(OR(S92="",E92=""),"",((S92*3500)-E92)/(S92*3500))</f>
        <v/>
      </c>
      <c r="Z92" s="7" t="n"/>
    </row>
    <row r="93">
      <c r="A93" s="2" t="inlineStr">
        <is>
          <t>ANCIENT</t>
        </is>
      </c>
      <c r="B93" s="2" t="inlineStr">
        <is>
          <t>SOLAR T-SHIRT</t>
        </is>
      </c>
      <c r="C93" s="2" t="inlineStr">
        <is>
          <t>28TSH20/SLR</t>
        </is>
      </c>
      <c r="D93" s="2" t="n">
        <v>8000</v>
      </c>
      <c r="E93" s="3" t="n">
        <v>45246.11764705883</v>
      </c>
      <c r="F93" s="4" t="n">
        <v>11739.386625</v>
      </c>
      <c r="G93" s="3">
        <f>IF(OR(E93="",F93=""),"",E93+F93)</f>
        <v/>
      </c>
      <c r="H93" s="3" t="n">
        <v>67812.75008375</v>
      </c>
      <c r="I93" s="3" t="n">
        <v>169531.875209375</v>
      </c>
      <c r="J93" s="3" t="n">
        <v>139900</v>
      </c>
      <c r="K93" s="3" t="n">
        <v>67010.9243697479</v>
      </c>
      <c r="L93" s="5" t="n">
        <v>0.1496087420369185</v>
      </c>
      <c r="M93" s="3" t="n">
        <v>82082.50420168067</v>
      </c>
      <c r="N93" s="5" t="n">
        <v>0.3057533413936459</v>
      </c>
      <c r="O93" s="3" t="n">
        <v>167604.4243295848</v>
      </c>
      <c r="P93" s="5" t="n">
        <v>0.6599999999999999</v>
      </c>
      <c r="Q93" s="3" t="n">
        <v>83299.99999999999</v>
      </c>
      <c r="R93" s="5" t="n">
        <v>0.3159003088588375</v>
      </c>
      <c r="S93" s="3" t="n">
        <v>88.40000000000001</v>
      </c>
      <c r="T93" s="5" t="n">
        <v>0.8158193139235331</v>
      </c>
      <c r="U93" s="6">
        <f>IF(OR(K93="",E93=""),"",(K93-E93)/K93)</f>
        <v/>
      </c>
      <c r="V93" s="6">
        <f>IF(OR(M93="",E93=""),"",(M93-E93)/M93)</f>
        <v/>
      </c>
      <c r="W93" s="6">
        <f>IF(OR(O93="",E93=""),"",(O93-E93)/O93)</f>
        <v/>
      </c>
      <c r="X93" s="6">
        <f>IF(OR(Q93="",E93=""),"",(Q93-E93)/Q93)</f>
        <v/>
      </c>
      <c r="Y93" s="6">
        <f>IF(OR(S93="",E93=""),"",((S93*3500)-E93)/(S93*3500))</f>
        <v/>
      </c>
      <c r="Z93" s="7" t="n"/>
    </row>
    <row r="94">
      <c r="A94" s="2" t="inlineStr">
        <is>
          <t>ANCIENT</t>
        </is>
      </c>
      <c r="B94" s="2" t="inlineStr">
        <is>
          <t>SHINE SOULS T-SHIRT</t>
        </is>
      </c>
      <c r="C94" s="2" t="inlineStr">
        <is>
          <t>28TSH20/SHSL</t>
        </is>
      </c>
      <c r="D94" s="2" t="n">
        <v>8000</v>
      </c>
      <c r="E94" s="3" t="n">
        <v>28862.74509803922</v>
      </c>
      <c r="F94" s="4" t="n">
        <v>11739.386625</v>
      </c>
      <c r="G94" s="3">
        <f>IF(OR(E94="",F94=""),"",E94+F94)</f>
        <v/>
      </c>
      <c r="H94" s="3" t="n">
        <v>48316.53675041666</v>
      </c>
      <c r="I94" s="3" t="n">
        <v>120791.3418760417</v>
      </c>
      <c r="J94" s="3" t="n">
        <v>129900</v>
      </c>
      <c r="K94" s="3" t="n">
        <v>62221.00840336135</v>
      </c>
      <c r="L94" s="5" t="n">
        <v>0.3474530104072409</v>
      </c>
      <c r="M94" s="3" t="n">
        <v>76215.27731092437</v>
      </c>
      <c r="N94" s="5" t="n">
        <v>0.4672704324436083</v>
      </c>
      <c r="O94" s="3" t="n">
        <v>119418.0344795271</v>
      </c>
      <c r="P94" s="5" t="n">
        <v>0.6599999999999999</v>
      </c>
      <c r="Q94" s="3" t="n">
        <v>83299.99999999999</v>
      </c>
      <c r="R94" s="5" t="n">
        <v>0.512579451103971</v>
      </c>
      <c r="S94" s="3" t="n">
        <v>88.40000000000001</v>
      </c>
      <c r="T94" s="5" t="n">
        <v>0.8687713906818384</v>
      </c>
      <c r="U94" s="6">
        <f>IF(OR(K94="",E94=""),"",(K94-E94)/K94)</f>
        <v/>
      </c>
      <c r="V94" s="6">
        <f>IF(OR(M94="",E94=""),"",(M94-E94)/M94)</f>
        <v/>
      </c>
      <c r="W94" s="6">
        <f>IF(OR(O94="",E94=""),"",(O94-E94)/O94)</f>
        <v/>
      </c>
      <c r="X94" s="6">
        <f>IF(OR(Q94="",E94=""),"",(Q94-E94)/Q94)</f>
        <v/>
      </c>
      <c r="Y94" s="6">
        <f>IF(OR(S94="",E94=""),"",((S94*3500)-E94)/(S94*3500))</f>
        <v/>
      </c>
      <c r="Z94" s="7" t="n"/>
    </row>
    <row r="95">
      <c r="A95" s="2" t="inlineStr">
        <is>
          <t>ANCIENT</t>
        </is>
      </c>
      <c r="B95" s="2" t="inlineStr">
        <is>
          <t>SOLAR MESH DRESS</t>
        </is>
      </c>
      <c r="C95" s="2" t="inlineStr">
        <is>
          <t>28VE32/SLR</t>
        </is>
      </c>
      <c r="D95" s="2" t="n">
        <v>8000</v>
      </c>
      <c r="E95" s="3" t="n">
        <v>50498.71999999999</v>
      </c>
      <c r="F95" s="4" t="n">
        <v>11739.386625</v>
      </c>
      <c r="G95" s="3">
        <f>IF(OR(E95="",F95=""),"",E95+F95)</f>
        <v/>
      </c>
      <c r="H95" s="3" t="n">
        <v>74063.34688374998</v>
      </c>
      <c r="I95" s="3" t="n">
        <v>185158.367209375</v>
      </c>
      <c r="J95" s="3" t="n">
        <v>179900</v>
      </c>
      <c r="K95" s="3" t="n">
        <v>86170.58823529411</v>
      </c>
      <c r="L95" s="5" t="n">
        <v>0.2777337616048877</v>
      </c>
      <c r="M95" s="3" t="n">
        <v>105551.4117647059</v>
      </c>
      <c r="N95" s="5" t="n">
        <v>0.4103526842090891</v>
      </c>
      <c r="O95" s="3" t="n">
        <v>183053.2547794117</v>
      </c>
      <c r="P95" s="5" t="n">
        <v>0.66</v>
      </c>
      <c r="Q95" s="3" t="n">
        <v>120050</v>
      </c>
      <c r="R95" s="5" t="n">
        <v>0.4815651259891712</v>
      </c>
      <c r="S95" s="3" t="n">
        <v>127.4</v>
      </c>
      <c r="T95" s="5" t="n">
        <v>0.8604213800740076</v>
      </c>
      <c r="U95" s="6">
        <f>IF(OR(K95="",E95=""),"",(K95-E95)/K95)</f>
        <v/>
      </c>
      <c r="V95" s="6">
        <f>IF(OR(M95="",E95=""),"",(M95-E95)/M95)</f>
        <v/>
      </c>
      <c r="W95" s="6">
        <f>IF(OR(O95="",E95=""),"",(O95-E95)/O95)</f>
        <v/>
      </c>
      <c r="X95" s="6">
        <f>IF(OR(Q95="",E95=""),"",(Q95-E95)/Q95)</f>
        <v/>
      </c>
      <c r="Y95" s="6">
        <f>IF(OR(S95="",E95=""),"",((S95*3500)-E95)/(S95*3500))</f>
        <v/>
      </c>
      <c r="Z95" s="7" t="n"/>
    </row>
    <row r="96">
      <c r="A96" s="2" t="inlineStr">
        <is>
          <t>ANCIENT</t>
        </is>
      </c>
      <c r="B96" s="2" t="inlineStr">
        <is>
          <t>SOLAR DRAPED MESH DRESS</t>
        </is>
      </c>
      <c r="C96" s="2" t="inlineStr">
        <is>
          <t>28VE38/SLR</t>
        </is>
      </c>
      <c r="D96" s="2" t="n">
        <v>8000</v>
      </c>
      <c r="E96" s="3" t="n">
        <v>76119.08333333333</v>
      </c>
      <c r="F96" s="4" t="n">
        <v>11739.386625</v>
      </c>
      <c r="G96" s="3">
        <f>IF(OR(E96="",F96=""),"",E96+F96)</f>
        <v/>
      </c>
      <c r="H96" s="3" t="n">
        <v>104551.5792504167</v>
      </c>
      <c r="I96" s="3" t="n">
        <v>261378.9481260416</v>
      </c>
      <c r="J96" s="3" t="n">
        <v>219900</v>
      </c>
      <c r="K96" s="3" t="n">
        <v>105330.2521008403</v>
      </c>
      <c r="L96" s="5" t="n">
        <v>0.165876201699204</v>
      </c>
      <c r="M96" s="3" t="n">
        <v>129020.3193277311</v>
      </c>
      <c r="N96" s="5" t="n">
        <v>0.3190338512869468</v>
      </c>
      <c r="O96" s="3" t="n">
        <v>258407.2645833333</v>
      </c>
      <c r="P96" s="5" t="n">
        <v>0.66</v>
      </c>
      <c r="Q96" s="3" t="n">
        <v>147000</v>
      </c>
      <c r="R96" s="5" t="n">
        <v>0.4023233336167801</v>
      </c>
      <c r="S96" s="3" t="n">
        <v>156</v>
      </c>
      <c r="T96" s="5" t="n">
        <v>0.8390870513583639</v>
      </c>
      <c r="U96" s="6">
        <f>IF(OR(K96="",E96=""),"",(K96-E96)/K96)</f>
        <v/>
      </c>
      <c r="V96" s="6">
        <f>IF(OR(M96="",E96=""),"",(M96-E96)/M96)</f>
        <v/>
      </c>
      <c r="W96" s="6">
        <f>IF(OR(O96="",E96=""),"",(O96-E96)/O96)</f>
        <v/>
      </c>
      <c r="X96" s="6">
        <f>IF(OR(Q96="",E96=""),"",(Q96-E96)/Q96)</f>
        <v/>
      </c>
      <c r="Y96" s="6">
        <f>IF(OR(S96="",E96=""),"",((S96*3500)-E96)/(S96*3500))</f>
        <v/>
      </c>
      <c r="Z96" s="7" t="n"/>
    </row>
    <row r="97">
      <c r="A97" s="2" t="inlineStr">
        <is>
          <t>ANCIENT</t>
        </is>
      </c>
      <c r="B97" s="2" t="inlineStr">
        <is>
          <t>I'M BLACK CARGO PANTS</t>
        </is>
      </c>
      <c r="C97" s="2" t="inlineStr">
        <is>
          <t>28PA25/BLA</t>
        </is>
      </c>
      <c r="D97" s="2" t="n">
        <v>8000</v>
      </c>
      <c r="E97" s="3" t="n">
        <v>66239.20774603175</v>
      </c>
      <c r="F97" s="4" t="n">
        <v>11739.386625</v>
      </c>
      <c r="G97" s="3">
        <f>IF(OR(E97="",F97=""),"",E97+F97)</f>
        <v/>
      </c>
      <c r="H97" s="3" t="n">
        <v>92794.52730152778</v>
      </c>
      <c r="I97" s="3" t="n">
        <v>231986.3182538195</v>
      </c>
      <c r="J97" s="3" t="n">
        <v>209900</v>
      </c>
      <c r="K97" s="3" t="n">
        <v>100540.3361344538</v>
      </c>
      <c r="L97" s="5" t="n">
        <v>0.2244048769963325</v>
      </c>
      <c r="M97" s="3" t="n">
        <v>123153.0924369748</v>
      </c>
      <c r="N97" s="5" t="n">
        <v>0.3668157832825975</v>
      </c>
      <c r="O97" s="3" t="n">
        <v>229348.8069736228</v>
      </c>
      <c r="P97" s="5" t="n">
        <v>0.6599999999999999</v>
      </c>
      <c r="Q97" s="3" t="n">
        <v>147000</v>
      </c>
      <c r="R97" s="5" t="n">
        <v>0.4695333716256344</v>
      </c>
      <c r="S97" s="3" t="n">
        <v>156</v>
      </c>
      <c r="T97" s="5" t="n">
        <v>0.857182061591517</v>
      </c>
      <c r="U97" s="6">
        <f>IF(OR(K97="",E97=""),"",(K97-E97)/K97)</f>
        <v/>
      </c>
      <c r="V97" s="6">
        <f>IF(OR(M97="",E97=""),"",(M97-E97)/M97)</f>
        <v/>
      </c>
      <c r="W97" s="6">
        <f>IF(OR(O97="",E97=""),"",(O97-E97)/O97)</f>
        <v/>
      </c>
      <c r="X97" s="6">
        <f>IF(OR(Q97="",E97=""),"",(Q97-E97)/Q97)</f>
        <v/>
      </c>
      <c r="Y97" s="6">
        <f>IF(OR(S97="",E97=""),"",((S97*3500)-E97)/(S97*3500))</f>
        <v/>
      </c>
      <c r="Z97" s="7" t="n"/>
    </row>
    <row r="98">
      <c r="A98" s="2" t="inlineStr">
        <is>
          <t>ANCIENT</t>
        </is>
      </c>
      <c r="B98" s="2" t="inlineStr">
        <is>
          <t>SOLAR SLEEP SHORT SLEEVELESS SHIRT</t>
        </is>
      </c>
      <c r="C98" s="2" t="inlineStr">
        <is>
          <t>284125/SLR</t>
        </is>
      </c>
      <c r="D98" s="2" t="n">
        <v>8000</v>
      </c>
      <c r="E98" s="3" t="n">
        <v>20575.8083333333</v>
      </c>
      <c r="F98" s="4" t="n">
        <v>11739.386625</v>
      </c>
      <c r="G98" s="3">
        <f>IF(OR(E98="",F98=""),"",E98+F98)</f>
        <v/>
      </c>
      <c r="H98" s="3" t="n">
        <v>38455.08200041662</v>
      </c>
      <c r="I98" s="3" t="n">
        <v>96137.70500104156</v>
      </c>
      <c r="J98" s="3" t="n">
        <v>89950</v>
      </c>
      <c r="K98" s="3" t="n">
        <v>43085.29411764706</v>
      </c>
      <c r="L98" s="5" t="n">
        <v>0.2499715826450049</v>
      </c>
      <c r="M98" s="3" t="n">
        <v>52775.70588235294</v>
      </c>
      <c r="N98" s="5" t="n">
        <v>0.3876880580172627</v>
      </c>
      <c r="O98" s="3" t="n">
        <v>95044.69105392147</v>
      </c>
      <c r="P98" s="5" t="n">
        <v>0.6599999999999999</v>
      </c>
      <c r="Q98" s="3" t="n">
        <v>36750</v>
      </c>
      <c r="R98" s="5" t="n">
        <v>0.1206749671201823</v>
      </c>
      <c r="S98" s="3" t="n">
        <v>39</v>
      </c>
      <c r="T98" s="5" t="n">
        <v>0.7632586449938952</v>
      </c>
      <c r="U98" s="6">
        <f>IF(OR(K98="",E98=""),"",(K98-E98)/K98)</f>
        <v/>
      </c>
      <c r="V98" s="6">
        <f>IF(OR(M98="",E98=""),"",(M98-E98)/M98)</f>
        <v/>
      </c>
      <c r="W98" s="6">
        <f>IF(OR(O98="",E98=""),"",(O98-E98)/O98)</f>
        <v/>
      </c>
      <c r="X98" s="6">
        <f>IF(OR(Q98="",E98=""),"",(Q98-E98)/Q98)</f>
        <v/>
      </c>
      <c r="Y98" s="6">
        <f>IF(OR(S98="",E98=""),"",((S98*3500)-E98)/(S98*3500))</f>
        <v/>
      </c>
      <c r="Z98" s="7" t="n"/>
    </row>
    <row r="99">
      <c r="A99" s="2" t="inlineStr">
        <is>
          <t>ANCIENT</t>
        </is>
      </c>
      <c r="B99" s="2" t="inlineStr">
        <is>
          <t>SOLAR SLEEP SHORT</t>
        </is>
      </c>
      <c r="C99" s="2" t="inlineStr">
        <is>
          <t>284222/SLR</t>
        </is>
      </c>
      <c r="D99" s="2" t="n">
        <v>8000</v>
      </c>
      <c r="E99" s="3" t="n">
        <v>20575.8083333333</v>
      </c>
      <c r="F99" s="4" t="n">
        <v>11739.386625</v>
      </c>
      <c r="G99" s="3">
        <f>IF(OR(E99="",F99=""),"",E99+F99)</f>
        <v/>
      </c>
      <c r="H99" s="3" t="n">
        <v>38455.08200041662</v>
      </c>
      <c r="I99" s="3" t="n">
        <v>96137.70500104156</v>
      </c>
      <c r="J99" s="3" t="n">
        <v>89950</v>
      </c>
      <c r="K99" s="3" t="n">
        <v>43085.29411764706</v>
      </c>
      <c r="L99" s="5" t="n">
        <v>0.2499715826450049</v>
      </c>
      <c r="M99" s="3" t="n">
        <v>52775.70588235294</v>
      </c>
      <c r="N99" s="5" t="n">
        <v>0.3876880580172627</v>
      </c>
      <c r="O99" s="3" t="n">
        <v>95044.69105392147</v>
      </c>
      <c r="P99" s="5" t="n">
        <v>0.6599999999999999</v>
      </c>
      <c r="Q99" s="3" t="n">
        <v>39200</v>
      </c>
      <c r="R99" s="5" t="n">
        <v>0.1756327816751709</v>
      </c>
      <c r="S99" s="3" t="n">
        <v>41.6</v>
      </c>
      <c r="T99" s="5" t="n">
        <v>0.7780549796817767</v>
      </c>
      <c r="U99" s="6">
        <f>IF(OR(K99="",E99=""),"",(K99-E99)/K99)</f>
        <v/>
      </c>
      <c r="V99" s="6">
        <f>IF(OR(M99="",E99=""),"",(M99-E99)/M99)</f>
        <v/>
      </c>
      <c r="W99" s="6">
        <f>IF(OR(O99="",E99=""),"",(O99-E99)/O99)</f>
        <v/>
      </c>
      <c r="X99" s="6">
        <f>IF(OR(Q99="",E99=""),"",(Q99-E99)/Q99)</f>
        <v/>
      </c>
      <c r="Y99" s="6">
        <f>IF(OR(S99="",E99=""),"",((S99*3500)-E99)/(S99*3500))</f>
        <v/>
      </c>
      <c r="Z99" s="7" t="n"/>
    </row>
    <row r="100">
      <c r="A100" s="2" t="inlineStr">
        <is>
          <t>ANCIENT</t>
        </is>
      </c>
      <c r="B100" s="2" t="inlineStr">
        <is>
          <t>JADE TRIANGLE TOP</t>
        </is>
      </c>
      <c r="C100" s="2" t="inlineStr">
        <is>
          <t>283135/JAD</t>
        </is>
      </c>
      <c r="D100" s="2" t="n">
        <v>8000</v>
      </c>
      <c r="E100" s="3" t="n">
        <v>30776.65</v>
      </c>
      <c r="F100" s="4" t="n">
        <v>11739.386625</v>
      </c>
      <c r="G100" s="3">
        <f>IF(OR(E100="",F100=""),"",E100+F100)</f>
        <v/>
      </c>
      <c r="H100" s="3" t="n">
        <v>50594.08358375</v>
      </c>
      <c r="I100" s="3" t="n">
        <v>126485.208959375</v>
      </c>
      <c r="J100" s="3" t="n">
        <v>129900</v>
      </c>
      <c r="K100" s="3" t="n">
        <v>62221.00840336135</v>
      </c>
      <c r="L100" s="5" t="n">
        <v>0.3166932244270221</v>
      </c>
      <c r="M100" s="3" t="n">
        <v>76215.27731092437</v>
      </c>
      <c r="N100" s="5" t="n">
        <v>0.4421586048745383</v>
      </c>
      <c r="O100" s="3" t="n">
        <v>125047.1665441176</v>
      </c>
      <c r="P100" s="5" t="n">
        <v>0.6599999999999999</v>
      </c>
      <c r="Q100" s="3" t="n">
        <v>78400</v>
      </c>
      <c r="R100" s="5" t="n">
        <v>0.4577036144770408</v>
      </c>
      <c r="S100" s="3" t="n">
        <v>83.2</v>
      </c>
      <c r="T100" s="5" t="n">
        <v>0.8539971269745879</v>
      </c>
      <c r="U100" s="6">
        <f>IF(OR(K100="",E100=""),"",(K100-E100)/K100)</f>
        <v/>
      </c>
      <c r="V100" s="6">
        <f>IF(OR(M100="",E100=""),"",(M100-E100)/M100)</f>
        <v/>
      </c>
      <c r="W100" s="6">
        <f>IF(OR(O100="",E100=""),"",(O100-E100)/O100)</f>
        <v/>
      </c>
      <c r="X100" s="6">
        <f>IF(OR(Q100="",E100=""),"",(Q100-E100)/Q100)</f>
        <v/>
      </c>
      <c r="Y100" s="6">
        <f>IF(OR(S100="",E100=""),"",((S100*3500)-E100)/(S100*3500))</f>
        <v/>
      </c>
      <c r="Z100" s="7" t="n"/>
    </row>
    <row r="101">
      <c r="A101" s="2" t="inlineStr">
        <is>
          <t>ANCIENT</t>
        </is>
      </c>
      <c r="B101" s="2" t="inlineStr">
        <is>
          <t>JADE STRAP TIE SIDE BOTTOM</t>
        </is>
      </c>
      <c r="C101" s="2" t="inlineStr">
        <is>
          <t>283236/JAD</t>
        </is>
      </c>
      <c r="D101" s="2" t="n">
        <v>8000</v>
      </c>
      <c r="E101" s="3" t="n">
        <v>28958.3</v>
      </c>
      <c r="F101" s="4" t="n">
        <v>11739.386625</v>
      </c>
      <c r="G101" s="3">
        <f>IF(OR(E101="",F101=""),"",E101+F101)</f>
        <v/>
      </c>
      <c r="H101" s="3" t="n">
        <v>48430.24708375</v>
      </c>
      <c r="I101" s="3" t="n">
        <v>121075.617709375</v>
      </c>
      <c r="J101" s="3" t="n">
        <v>119900</v>
      </c>
      <c r="K101" s="3" t="n">
        <v>57431.09243697478</v>
      </c>
      <c r="L101" s="5" t="n">
        <v>0.2913649227609263</v>
      </c>
      <c r="M101" s="3" t="n">
        <v>70348.05042016806</v>
      </c>
      <c r="N101" s="5" t="n">
        <v>0.4214809595727987</v>
      </c>
      <c r="O101" s="3" t="n">
        <v>119699.0783088235</v>
      </c>
      <c r="P101" s="5" t="n">
        <v>0.66</v>
      </c>
      <c r="Q101" s="3" t="n">
        <v>78400</v>
      </c>
      <c r="R101" s="5" t="n">
        <v>0.4808968542729591</v>
      </c>
      <c r="S101" s="3" t="n">
        <v>83.2</v>
      </c>
      <c r="T101" s="5" t="n">
        <v>0.8602414607657967</v>
      </c>
      <c r="U101" s="6">
        <f>IF(OR(K101="",E101=""),"",(K101-E101)/K101)</f>
        <v/>
      </c>
      <c r="V101" s="6">
        <f>IF(OR(M101="",E101=""),"",(M101-E101)/M101)</f>
        <v/>
      </c>
      <c r="W101" s="6">
        <f>IF(OR(O101="",E101=""),"",(O101-E101)/O101)</f>
        <v/>
      </c>
      <c r="X101" s="6">
        <f>IF(OR(Q101="",E101=""),"",(Q101-E101)/Q101)</f>
        <v/>
      </c>
      <c r="Y101" s="6">
        <f>IF(OR(S101="",E101=""),"",((S101*3500)-E101)/(S101*3500))</f>
        <v/>
      </c>
      <c r="Z101" s="7" t="n"/>
    </row>
    <row r="102">
      <c r="A102" s="2" t="inlineStr">
        <is>
          <t>ANCIENT</t>
        </is>
      </c>
      <c r="B102" s="2" t="inlineStr">
        <is>
          <t>JADE V NECK BRALETTE TOP</t>
        </is>
      </c>
      <c r="C102" s="2" t="inlineStr">
        <is>
          <t>283154/JAD</t>
        </is>
      </c>
      <c r="D102" s="2" t="n">
        <v>8000</v>
      </c>
      <c r="E102" s="3" t="n">
        <v>35406.0625</v>
      </c>
      <c r="F102" s="4" t="n">
        <v>11739.386625</v>
      </c>
      <c r="G102" s="3">
        <f>IF(OR(E102="",F102=""),"",E102+F102)</f>
        <v/>
      </c>
      <c r="H102" s="3" t="n">
        <v>56103.08445875</v>
      </c>
      <c r="I102" s="3" t="n">
        <v>140257.711146875</v>
      </c>
      <c r="J102" s="3" t="n">
        <v>139900</v>
      </c>
      <c r="K102" s="3" t="n">
        <v>67010.9243697479</v>
      </c>
      <c r="L102" s="5" t="n">
        <v>0.2964512940477534</v>
      </c>
      <c r="M102" s="3" t="n">
        <v>82082.50420168067</v>
      </c>
      <c r="N102" s="5" t="n">
        <v>0.4256333967448001</v>
      </c>
      <c r="O102" s="3" t="n">
        <v>138663.0856617647</v>
      </c>
      <c r="P102" s="5" t="n">
        <v>0.6599999999999999</v>
      </c>
      <c r="Q102" s="3" t="n">
        <v>78400</v>
      </c>
      <c r="R102" s="5" t="n">
        <v>0.3986549856505102</v>
      </c>
      <c r="S102" s="3" t="n">
        <v>83.2</v>
      </c>
      <c r="T102" s="5" t="n">
        <v>0.838099419213599</v>
      </c>
      <c r="U102" s="6">
        <f>IF(OR(K102="",E102=""),"",(K102-E102)/K102)</f>
        <v/>
      </c>
      <c r="V102" s="6">
        <f>IF(OR(M102="",E102=""),"",(M102-E102)/M102)</f>
        <v/>
      </c>
      <c r="W102" s="6">
        <f>IF(OR(O102="",E102=""),"",(O102-E102)/O102)</f>
        <v/>
      </c>
      <c r="X102" s="6">
        <f>IF(OR(Q102="",E102=""),"",(Q102-E102)/Q102)</f>
        <v/>
      </c>
      <c r="Y102" s="6">
        <f>IF(OR(S102="",E102=""),"",((S102*3500)-E102)/(S102*3500))</f>
        <v/>
      </c>
      <c r="Z102" s="7" t="n"/>
    </row>
    <row r="103">
      <c r="A103" s="2" t="inlineStr">
        <is>
          <t>ANCIENT</t>
        </is>
      </c>
      <c r="B103" s="2" t="inlineStr">
        <is>
          <t>JADE HIGH WAIST BOTTOM</t>
        </is>
      </c>
      <c r="C103" s="2" t="inlineStr">
        <is>
          <t>283223/JAD</t>
        </is>
      </c>
      <c r="D103" s="2" t="n">
        <v>8000</v>
      </c>
      <c r="E103" s="3" t="n">
        <v>22473.125</v>
      </c>
      <c r="F103" s="4" t="n">
        <v>11739.386625</v>
      </c>
      <c r="G103" s="3">
        <f>IF(OR(E103="",F103=""),"",E103+F103)</f>
        <v/>
      </c>
      <c r="H103" s="3" t="n">
        <v>40712.88883375</v>
      </c>
      <c r="I103" s="3" t="n">
        <v>101782.222084375</v>
      </c>
      <c r="J103" s="3" t="n">
        <v>109900</v>
      </c>
      <c r="K103" s="3" t="n">
        <v>52641.17647058823</v>
      </c>
      <c r="L103" s="5" t="n">
        <v>0.3500807938037769</v>
      </c>
      <c r="M103" s="3" t="n">
        <v>64480.82352941175</v>
      </c>
      <c r="N103" s="5" t="n">
        <v>0.4694157153654437</v>
      </c>
      <c r="O103" s="3" t="n">
        <v>100625.0341911765</v>
      </c>
      <c r="P103" s="5" t="n">
        <v>0.6599999999999999</v>
      </c>
      <c r="Q103" s="3" t="n">
        <v>78400</v>
      </c>
      <c r="R103" s="5" t="n">
        <v>0.5636159231505102</v>
      </c>
      <c r="S103" s="3" t="n">
        <v>83.2</v>
      </c>
      <c r="T103" s="5" t="n">
        <v>0.8825119793097528</v>
      </c>
      <c r="U103" s="6">
        <f>IF(OR(K103="",E103=""),"",(K103-E103)/K103)</f>
        <v/>
      </c>
      <c r="V103" s="6">
        <f>IF(OR(M103="",E103=""),"",(M103-E103)/M103)</f>
        <v/>
      </c>
      <c r="W103" s="6">
        <f>IF(OR(O103="",E103=""),"",(O103-E103)/O103)</f>
        <v/>
      </c>
      <c r="X103" s="6">
        <f>IF(OR(Q103="",E103=""),"",(Q103-E103)/Q103)</f>
        <v/>
      </c>
      <c r="Y103" s="6">
        <f>IF(OR(S103="",E103=""),"",((S103*3500)-E103)/(S103*3500))</f>
        <v/>
      </c>
      <c r="Z103" s="7" t="n"/>
    </row>
    <row r="104">
      <c r="A104" s="2" t="inlineStr">
        <is>
          <t>ANCIENT</t>
        </is>
      </c>
      <c r="B104" s="2" t="inlineStr">
        <is>
          <t>JADE ONE SHOULDER ONE PIECE</t>
        </is>
      </c>
      <c r="C104" s="2" t="inlineStr">
        <is>
          <t>283326/JAD</t>
        </is>
      </c>
      <c r="D104" s="2" t="n">
        <v>8000</v>
      </c>
      <c r="E104" s="3" t="n">
        <v>51279.725</v>
      </c>
      <c r="F104" s="4" t="n">
        <v>11739.386625</v>
      </c>
      <c r="G104" s="3">
        <f>IF(OR(E104="",F104=""),"",E104+F104)</f>
        <v/>
      </c>
      <c r="H104" s="3" t="n">
        <v>74992.74283374999</v>
      </c>
      <c r="I104" s="3" t="n">
        <v>187481.857084375</v>
      </c>
      <c r="J104" s="3" t="n">
        <v>199900</v>
      </c>
      <c r="K104" s="3" t="n">
        <v>95750.42016806723</v>
      </c>
      <c r="L104" s="5" t="n">
        <v>0.341839842432181</v>
      </c>
      <c r="M104" s="3" t="n">
        <v>117285.8655462185</v>
      </c>
      <c r="N104" s="5" t="n">
        <v>0.4626879263625654</v>
      </c>
      <c r="O104" s="3" t="n">
        <v>185350.3283088235</v>
      </c>
      <c r="P104" s="5" t="n">
        <v>0.66</v>
      </c>
      <c r="Q104" s="3" t="n">
        <v>132300</v>
      </c>
      <c r="R104" s="5" t="n">
        <v>0.5236650670823886</v>
      </c>
      <c r="S104" s="3" t="n">
        <v>140.4</v>
      </c>
      <c r="T104" s="5" t="n">
        <v>0.8717559795991046</v>
      </c>
      <c r="U104" s="6">
        <f>IF(OR(K104="",E104=""),"",(K104-E104)/K104)</f>
        <v/>
      </c>
      <c r="V104" s="6">
        <f>IF(OR(M104="",E104=""),"",(M104-E104)/M104)</f>
        <v/>
      </c>
      <c r="W104" s="6">
        <f>IF(OR(O104="",E104=""),"",(O104-E104)/O104)</f>
        <v/>
      </c>
      <c r="X104" s="6">
        <f>IF(OR(Q104="",E104=""),"",(Q104-E104)/Q104)</f>
        <v/>
      </c>
      <c r="Y104" s="6">
        <f>IF(OR(S104="",E104=""),"",((S104*3500)-E104)/(S104*3500))</f>
        <v/>
      </c>
      <c r="Z104" s="7" t="n"/>
    </row>
    <row r="105">
      <c r="A105" s="2" t="inlineStr">
        <is>
          <t>ANCIENT</t>
        </is>
      </c>
      <c r="B105" s="2" t="inlineStr">
        <is>
          <t>I'M REEF TRIANGLE TOP</t>
        </is>
      </c>
      <c r="C105" s="2" t="inlineStr">
        <is>
          <t>283135/IREEF</t>
        </is>
      </c>
      <c r="D105" s="2" t="n">
        <v>8000</v>
      </c>
      <c r="E105" s="3" t="n">
        <v>30757.175</v>
      </c>
      <c r="F105" s="4" t="n">
        <v>11739.386625</v>
      </c>
      <c r="G105" s="3">
        <f>IF(OR(E105="",F105=""),"",E105+F105)</f>
        <v/>
      </c>
      <c r="H105" s="3" t="n">
        <v>50570.90833375</v>
      </c>
      <c r="I105" s="3" t="n">
        <v>126427.270834375</v>
      </c>
      <c r="J105" s="3" t="n">
        <v>129900</v>
      </c>
      <c r="K105" s="3" t="n">
        <v>62221.00840336135</v>
      </c>
      <c r="L105" s="5" t="n">
        <v>0.317006221604338</v>
      </c>
      <c r="M105" s="3" t="n">
        <v>76215.27731092437</v>
      </c>
      <c r="N105" s="5" t="n">
        <v>0.4424141310720032</v>
      </c>
      <c r="O105" s="3" t="n">
        <v>124989.8871323529</v>
      </c>
      <c r="P105" s="5" t="n">
        <v>0.66</v>
      </c>
      <c r="Q105" s="3" t="n">
        <v>78400</v>
      </c>
      <c r="R105" s="5" t="n">
        <v>0.4579520200892857</v>
      </c>
      <c r="S105" s="3" t="n">
        <v>83.2</v>
      </c>
      <c r="T105" s="5" t="n">
        <v>0.8540640054086538</v>
      </c>
      <c r="U105" s="6">
        <f>IF(OR(K105="",E105=""),"",(K105-E105)/K105)</f>
        <v/>
      </c>
      <c r="V105" s="6">
        <f>IF(OR(M105="",E105=""),"",(M105-E105)/M105)</f>
        <v/>
      </c>
      <c r="W105" s="6">
        <f>IF(OR(O105="",E105=""),"",(O105-E105)/O105)</f>
        <v/>
      </c>
      <c r="X105" s="6">
        <f>IF(OR(Q105="",E105=""),"",(Q105-E105)/Q105)</f>
        <v/>
      </c>
      <c r="Y105" s="6">
        <f>IF(OR(S105="",E105=""),"",((S105*3500)-E105)/(S105*3500))</f>
        <v/>
      </c>
      <c r="Z105" s="7" t="n"/>
    </row>
    <row r="106">
      <c r="A106" s="2" t="inlineStr">
        <is>
          <t>ANCIENT</t>
        </is>
      </c>
      <c r="B106" s="2" t="inlineStr">
        <is>
          <t>I'M REEF STRAP TIE SIDE BOTTOM</t>
        </is>
      </c>
      <c r="C106" s="2" t="inlineStr">
        <is>
          <t>283236/IREEF</t>
        </is>
      </c>
      <c r="D106" s="2" t="n">
        <v>8000</v>
      </c>
      <c r="E106" s="3" t="n">
        <v>27301.9</v>
      </c>
      <c r="F106" s="4" t="n">
        <v>11739.386625</v>
      </c>
      <c r="G106" s="3">
        <f>IF(OR(E106="",F106=""),"",E106+F106)</f>
        <v/>
      </c>
      <c r="H106" s="3" t="n">
        <v>46459.13108375</v>
      </c>
      <c r="I106" s="3" t="n">
        <v>116147.827709375</v>
      </c>
      <c r="J106" s="3" t="n">
        <v>119900</v>
      </c>
      <c r="K106" s="3" t="n">
        <v>57431.09243697478</v>
      </c>
      <c r="L106" s="5" t="n">
        <v>0.3202064427410268</v>
      </c>
      <c r="M106" s="3" t="n">
        <v>70348.05042016806</v>
      </c>
      <c r="N106" s="5" t="n">
        <v>0.4450267435725942</v>
      </c>
      <c r="O106" s="3" t="n">
        <v>114827.3136029412</v>
      </c>
      <c r="P106" s="5" t="n">
        <v>0.6599999999999999</v>
      </c>
      <c r="Q106" s="3" t="n">
        <v>78400</v>
      </c>
      <c r="R106" s="5" t="n">
        <v>0.5020244052933673</v>
      </c>
      <c r="S106" s="3" t="n">
        <v>83.2</v>
      </c>
      <c r="T106" s="5" t="n">
        <v>0.8659296475789835</v>
      </c>
      <c r="U106" s="6">
        <f>IF(OR(K106="",E106=""),"",(K106-E106)/K106)</f>
        <v/>
      </c>
      <c r="V106" s="6">
        <f>IF(OR(M106="",E106=""),"",(M106-E106)/M106)</f>
        <v/>
      </c>
      <c r="W106" s="6">
        <f>IF(OR(O106="",E106=""),"",(O106-E106)/O106)</f>
        <v/>
      </c>
      <c r="X106" s="6">
        <f>IF(OR(Q106="",E106=""),"",(Q106-E106)/Q106)</f>
        <v/>
      </c>
      <c r="Y106" s="6">
        <f>IF(OR(S106="",E106=""),"",((S106*3500)-E106)/(S106*3500))</f>
        <v/>
      </c>
      <c r="Z106" s="7" t="n"/>
    </row>
    <row r="107">
      <c r="A107" s="2" t="inlineStr">
        <is>
          <t>ANCIENT</t>
        </is>
      </c>
      <c r="B107" s="2" t="inlineStr">
        <is>
          <t>I'M REEF STRAIGHT ONE PIECE</t>
        </is>
      </c>
      <c r="C107" s="2" t="inlineStr">
        <is>
          <t>283370/IREEF</t>
        </is>
      </c>
      <c r="D107" s="2" t="n">
        <v>8000</v>
      </c>
      <c r="E107" s="3" t="n">
        <v>54694</v>
      </c>
      <c r="F107" s="4" t="n">
        <v>11739.386625</v>
      </c>
      <c r="G107" s="3">
        <f>IF(OR(E107="",F107=""),"",E107+F107)</f>
        <v/>
      </c>
      <c r="H107" s="3" t="n">
        <v>79055.73008374999</v>
      </c>
      <c r="I107" s="3" t="n">
        <v>197639.325209375</v>
      </c>
      <c r="J107" s="3" t="n">
        <v>199900</v>
      </c>
      <c r="K107" s="3" t="n">
        <v>95750.42016806723</v>
      </c>
      <c r="L107" s="5" t="n">
        <v>0.3061817743630587</v>
      </c>
      <c r="M107" s="3" t="n">
        <v>117285.8655462185</v>
      </c>
      <c r="N107" s="5" t="n">
        <v>0.433577214819455</v>
      </c>
      <c r="O107" s="3" t="n">
        <v>195392.3136029412</v>
      </c>
      <c r="P107" s="5" t="n">
        <v>0.66</v>
      </c>
      <c r="Q107" s="3" t="n">
        <v>134750</v>
      </c>
      <c r="R107" s="5" t="n">
        <v>0.5069878543599258</v>
      </c>
      <c r="S107" s="3" t="n">
        <v>143</v>
      </c>
      <c r="T107" s="5" t="n">
        <v>0.8672659607892108</v>
      </c>
      <c r="U107" s="6">
        <f>IF(OR(K107="",E107=""),"",(K107-E107)/K107)</f>
        <v/>
      </c>
      <c r="V107" s="6">
        <f>IF(OR(M107="",E107=""),"",(M107-E107)/M107)</f>
        <v/>
      </c>
      <c r="W107" s="6">
        <f>IF(OR(O107="",E107=""),"",(O107-E107)/O107)</f>
        <v/>
      </c>
      <c r="X107" s="6">
        <f>IF(OR(Q107="",E107=""),"",(Q107-E107)/Q107)</f>
        <v/>
      </c>
      <c r="Y107" s="6">
        <f>IF(OR(S107="",E107=""),"",((S107*3500)-E107)/(S107*3500))</f>
        <v/>
      </c>
      <c r="Z107" s="7" t="n"/>
    </row>
    <row r="108">
      <c r="A108" s="2" t="inlineStr">
        <is>
          <t>ANCIENT</t>
        </is>
      </c>
      <c r="B108" s="2" t="inlineStr">
        <is>
          <t>JADE PAREO</t>
        </is>
      </c>
      <c r="C108" s="2" t="inlineStr">
        <is>
          <t>28RE22/JAD</t>
        </is>
      </c>
      <c r="D108" s="2" t="n">
        <v>8000</v>
      </c>
      <c r="E108" s="3" t="n">
        <v>31578.17142857143</v>
      </c>
      <c r="F108" s="4" t="n">
        <v>11739.386625</v>
      </c>
      <c r="G108" s="3">
        <f>IF(OR(E108="",F108=""),"",E108+F108)</f>
        <v/>
      </c>
      <c r="H108" s="3" t="n">
        <v>51547.89408374999</v>
      </c>
      <c r="I108" s="3" t="n">
        <v>128869.735209375</v>
      </c>
      <c r="J108" s="3" t="n">
        <v>139900</v>
      </c>
      <c r="K108" s="3" t="n">
        <v>67010.9243697479</v>
      </c>
      <c r="L108" s="5" t="n">
        <v>0.3535746826210451</v>
      </c>
      <c r="M108" s="3" t="n">
        <v>82082.50420168067</v>
      </c>
      <c r="N108" s="5" t="n">
        <v>0.4722680737525004</v>
      </c>
      <c r="O108" s="3" t="n">
        <v>127404.5825105042</v>
      </c>
      <c r="P108" s="5" t="n">
        <v>0.66</v>
      </c>
      <c r="Q108" s="3" t="n">
        <v>88200</v>
      </c>
      <c r="R108" s="5" t="n">
        <v>0.5088712238824101</v>
      </c>
      <c r="S108" s="3" t="n">
        <v>93.60000000000001</v>
      </c>
      <c r="T108" s="5" t="n">
        <v>0.867773021814495</v>
      </c>
      <c r="U108" s="6">
        <f>IF(OR(K108="",E108=""),"",(K108-E108)/K108)</f>
        <v/>
      </c>
      <c r="V108" s="6">
        <f>IF(OR(M108="",E108=""),"",(M108-E108)/M108)</f>
        <v/>
      </c>
      <c r="W108" s="6">
        <f>IF(OR(O108="",E108=""),"",(O108-E108)/O108)</f>
        <v/>
      </c>
      <c r="X108" s="6">
        <f>IF(OR(Q108="",E108=""),"",(Q108-E108)/Q108)</f>
        <v/>
      </c>
      <c r="Y108" s="6">
        <f>IF(OR(S108="",E108=""),"",((S108*3500)-E108)/(S108*3500))</f>
        <v/>
      </c>
      <c r="Z108" s="7" t="n"/>
    </row>
    <row r="109">
      <c r="A109" s="2" t="inlineStr">
        <is>
          <t>ANCIENT</t>
        </is>
      </c>
      <c r="B109" s="2" t="inlineStr">
        <is>
          <t>JADE HEADKERCHIEF</t>
        </is>
      </c>
      <c r="C109" s="2" t="inlineStr">
        <is>
          <t>28KE21/JAD</t>
        </is>
      </c>
      <c r="D109" s="2" t="n">
        <v>8000</v>
      </c>
      <c r="E109" s="3" t="n">
        <v>19794.12</v>
      </c>
      <c r="F109" s="4" t="n">
        <v>3159.75</v>
      </c>
      <c r="G109" s="3">
        <f>IF(OR(E109="",F109=""),"",E109+F109)</f>
        <v/>
      </c>
      <c r="H109" s="3" t="n">
        <v>27315.1053</v>
      </c>
      <c r="I109" s="3" t="n">
        <v>68287.76324999999</v>
      </c>
      <c r="J109" s="3" t="n">
        <v>59900</v>
      </c>
      <c r="K109" s="3" t="n">
        <v>28691.59663865546</v>
      </c>
      <c r="L109" s="5" t="n">
        <v>0.1999793427642562</v>
      </c>
      <c r="M109" s="3" t="n">
        <v>35144.68907563025</v>
      </c>
      <c r="N109" s="5" t="n">
        <v>0.3468751437634289</v>
      </c>
      <c r="O109" s="3" t="n">
        <v>67511.38235294117</v>
      </c>
      <c r="P109" s="5" t="n">
        <v>0.66</v>
      </c>
      <c r="Q109" s="3" t="n">
        <v>39200</v>
      </c>
      <c r="R109" s="5" t="n">
        <v>0.4144420918367347</v>
      </c>
      <c r="S109" s="3" t="n">
        <v>41.6</v>
      </c>
      <c r="T109" s="5" t="n">
        <v>0.842349793956044</v>
      </c>
      <c r="U109" s="6">
        <f>IF(OR(K109="",E109=""),"",(K109-E109)/K109)</f>
        <v/>
      </c>
      <c r="V109" s="6">
        <f>IF(OR(M109="",E109=""),"",(M109-E109)/M109)</f>
        <v/>
      </c>
      <c r="W109" s="6">
        <f>IF(OR(O109="",E109=""),"",(O109-E109)/O109)</f>
        <v/>
      </c>
      <c r="X109" s="6">
        <f>IF(OR(Q109="",E109=""),"",(Q109-E109)/Q109)</f>
        <v/>
      </c>
      <c r="Y109" s="6">
        <f>IF(OR(S109="",E109=""),"",((S109*3500)-E109)/(S109*3500))</f>
        <v/>
      </c>
      <c r="Z109" s="7" t="n"/>
    </row>
    <row r="110">
      <c r="A110" s="2" t="inlineStr">
        <is>
          <t>ANCIENT</t>
        </is>
      </c>
      <c r="B110" s="2" t="inlineStr">
        <is>
          <t>JADE TOWEL</t>
        </is>
      </c>
      <c r="C110" s="2" t="inlineStr">
        <is>
          <t>28TO27/JAD</t>
        </is>
      </c>
      <c r="D110" s="2" t="n">
        <v>8000</v>
      </c>
      <c r="E110" s="3" t="n">
        <v>36124.62</v>
      </c>
      <c r="F110" s="4" t="n">
        <v>3159.75</v>
      </c>
      <c r="G110" s="3">
        <f>IF(OR(E110="",F110=""),"",E110+F110)</f>
        <v/>
      </c>
      <c r="H110" s="3" t="n">
        <v>46748.4003</v>
      </c>
      <c r="I110" s="3" t="n">
        <v>116871.00075</v>
      </c>
      <c r="J110" s="3" t="n">
        <v>94000</v>
      </c>
      <c r="K110" s="3" t="n">
        <v>45025.21008403361</v>
      </c>
      <c r="L110" s="5" t="n">
        <v>0.1275027939529675</v>
      </c>
      <c r="M110" s="3" t="n">
        <v>55151.93277310924</v>
      </c>
      <c r="N110" s="5" t="n">
        <v>0.2877063771887589</v>
      </c>
      <c r="O110" s="3" t="n">
        <v>115542.2647058823</v>
      </c>
      <c r="P110" s="5" t="n">
        <v>0.66</v>
      </c>
      <c r="Q110" s="3" t="n">
        <v>83299.99999999999</v>
      </c>
      <c r="R110" s="5" t="n">
        <v>0.528398919567827</v>
      </c>
      <c r="S110" s="3" t="n">
        <v>88.40000000000001</v>
      </c>
      <c r="T110" s="5" t="n">
        <v>0.8730304783451842</v>
      </c>
      <c r="U110" s="6">
        <f>IF(OR(K110="",E110=""),"",(K110-E110)/K110)</f>
        <v/>
      </c>
      <c r="V110" s="6">
        <f>IF(OR(M110="",E110=""),"",(M110-E110)/M110)</f>
        <v/>
      </c>
      <c r="W110" s="6">
        <f>IF(OR(O110="",E110=""),"",(O110-E110)/O110)</f>
        <v/>
      </c>
      <c r="X110" s="6">
        <f>IF(OR(Q110="",E110=""),"",(Q110-E110)/Q110)</f>
        <v/>
      </c>
      <c r="Y110" s="6">
        <f>IF(OR(S110="",E110=""),"",((S110*3500)-E110)/(S110*3500))</f>
        <v/>
      </c>
      <c r="Z110" s="7" t="n"/>
    </row>
    <row r="111">
      <c r="A111" s="2" t="inlineStr">
        <is>
          <t>ANCIENT</t>
        </is>
      </c>
      <c r="B111" s="2" t="inlineStr">
        <is>
          <t>JADE MESH SHIRT</t>
        </is>
      </c>
      <c r="C111" s="2" t="inlineStr">
        <is>
          <t>28CA36/JAD</t>
        </is>
      </c>
      <c r="D111" s="2" t="n">
        <v>8000</v>
      </c>
      <c r="E111" s="3" t="n">
        <v>32455.55913978495</v>
      </c>
      <c r="F111" s="4" t="n">
        <v>11739.386625</v>
      </c>
      <c r="G111" s="3">
        <f>IF(OR(E111="",F111=""),"",E111+F111)</f>
        <v/>
      </c>
      <c r="H111" s="3" t="n">
        <v>52591.98546009409</v>
      </c>
      <c r="I111" s="3" t="n">
        <v>131479.9636502352</v>
      </c>
      <c r="J111" s="3" t="n">
        <v>129900</v>
      </c>
      <c r="K111" s="3" t="n">
        <v>62221.00840336135</v>
      </c>
      <c r="L111" s="5" t="n">
        <v>0.2897102297301016</v>
      </c>
      <c r="M111" s="3" t="n">
        <v>76215.27731092437</v>
      </c>
      <c r="N111" s="5" t="n">
        <v>0.4201300930194184</v>
      </c>
      <c r="O111" s="3" t="n">
        <v>129985.1346023087</v>
      </c>
      <c r="P111" s="5" t="n">
        <v>0.66</v>
      </c>
      <c r="Q111" s="3" t="n">
        <v>95549.99999999999</v>
      </c>
      <c r="R111" s="5" t="n">
        <v>0.5374678622209842</v>
      </c>
      <c r="S111" s="3" t="n">
        <v>101.4</v>
      </c>
      <c r="T111" s="5" t="n">
        <v>0.8754721167518035</v>
      </c>
      <c r="U111" s="6">
        <f>IF(OR(K111="",E111=""),"",(K111-E111)/K111)</f>
        <v/>
      </c>
      <c r="V111" s="6">
        <f>IF(OR(M111="",E111=""),"",(M111-E111)/M111)</f>
        <v/>
      </c>
      <c r="W111" s="6">
        <f>IF(OR(O111="",E111=""),"",(O111-E111)/O111)</f>
        <v/>
      </c>
      <c r="X111" s="6">
        <f>IF(OR(Q111="",E111=""),"",(Q111-E111)/Q111)</f>
        <v/>
      </c>
      <c r="Y111" s="6">
        <f>IF(OR(S111="",E111=""),"",((S111*3500)-E111)/(S111*3500))</f>
        <v/>
      </c>
      <c r="Z111" s="7" t="n"/>
    </row>
    <row r="112">
      <c r="A112" s="2" t="inlineStr">
        <is>
          <t>ANCIENT</t>
        </is>
      </c>
      <c r="B112" s="2" t="inlineStr">
        <is>
          <t>JADE MESH LONG SHIRT</t>
        </is>
      </c>
      <c r="C112" s="2" t="inlineStr">
        <is>
          <t>28CA32/JAD</t>
        </is>
      </c>
      <c r="D112" s="2" t="n">
        <v>8000</v>
      </c>
      <c r="E112" s="3" t="n">
        <v>28668.93333333333</v>
      </c>
      <c r="F112" s="4" t="n">
        <v>11739.386625</v>
      </c>
      <c r="G112" s="3">
        <f>IF(OR(E112="",F112=""),"",E112+F112)</f>
        <v/>
      </c>
      <c r="H112" s="3" t="n">
        <v>48085.90075041667</v>
      </c>
      <c r="I112" s="3" t="n">
        <v>120214.7518760417</v>
      </c>
      <c r="J112" s="3" t="n">
        <v>119900</v>
      </c>
      <c r="K112" s="3" t="n">
        <v>57431.09243697478</v>
      </c>
      <c r="L112" s="5" t="n">
        <v>0.2964034246313935</v>
      </c>
      <c r="M112" s="3" t="n">
        <v>70348.05042016806</v>
      </c>
      <c r="N112" s="5" t="n">
        <v>0.4255943168718051</v>
      </c>
      <c r="O112" s="3" t="n">
        <v>118847.999877451</v>
      </c>
      <c r="P112" s="5" t="n">
        <v>0.66</v>
      </c>
      <c r="Q112" s="3" t="n">
        <v>93099.99999999999</v>
      </c>
      <c r="R112" s="5" t="n">
        <v>0.5659686363229501</v>
      </c>
      <c r="S112" s="3" t="n">
        <v>98.8</v>
      </c>
      <c r="T112" s="5" t="n">
        <v>0.8831454020869481</v>
      </c>
      <c r="U112" s="6">
        <f>IF(OR(K112="",E112=""),"",(K112-E112)/K112)</f>
        <v/>
      </c>
      <c r="V112" s="6">
        <f>IF(OR(M112="",E112=""),"",(M112-E112)/M112)</f>
        <v/>
      </c>
      <c r="W112" s="6">
        <f>IF(OR(O112="",E112=""),"",(O112-E112)/O112)</f>
        <v/>
      </c>
      <c r="X112" s="6">
        <f>IF(OR(Q112="",E112=""),"",(Q112-E112)/Q112)</f>
        <v/>
      </c>
      <c r="Y112" s="6">
        <f>IF(OR(S112="",E112=""),"",((S112*3500)-E112)/(S112*3500))</f>
        <v/>
      </c>
      <c r="Z112" s="7" t="n"/>
    </row>
    <row r="113">
      <c r="A113" s="2" t="inlineStr">
        <is>
          <t>ANCIENT</t>
        </is>
      </c>
      <c r="B113" s="2" t="inlineStr">
        <is>
          <t>JADE T-SHIRT</t>
        </is>
      </c>
      <c r="C113" s="2" t="inlineStr">
        <is>
          <t>28TSH20/JAD</t>
        </is>
      </c>
      <c r="D113" s="2" t="n">
        <v>8000</v>
      </c>
      <c r="E113" s="3" t="n">
        <v>28862.74509803922</v>
      </c>
      <c r="F113" s="4" t="n">
        <v>11739.386625</v>
      </c>
      <c r="G113" s="3">
        <f>IF(OR(E113="",F113=""),"",E113+F113)</f>
        <v/>
      </c>
      <c r="H113" s="3" t="n">
        <v>48316.53675041666</v>
      </c>
      <c r="I113" s="3" t="n">
        <v>120791.3418760417</v>
      </c>
      <c r="J113" s="3" t="n">
        <v>129900</v>
      </c>
      <c r="K113" s="3" t="n">
        <v>62221.00840336135</v>
      </c>
      <c r="L113" s="5" t="n">
        <v>0.3474530104072409</v>
      </c>
      <c r="M113" s="3" t="n">
        <v>76215.27731092437</v>
      </c>
      <c r="N113" s="5" t="n">
        <v>0.4672704324436083</v>
      </c>
      <c r="O113" s="3" t="n">
        <v>119418.0344795271</v>
      </c>
      <c r="P113" s="5" t="n">
        <v>0.6599999999999999</v>
      </c>
      <c r="Q113" s="3" t="n">
        <v>83299.99999999999</v>
      </c>
      <c r="R113" s="5" t="n">
        <v>0.512579451103971</v>
      </c>
      <c r="S113" s="3" t="n">
        <v>88.40000000000001</v>
      </c>
      <c r="T113" s="5" t="n">
        <v>0.8687713906818384</v>
      </c>
      <c r="U113" s="6">
        <f>IF(OR(K113="",E113=""),"",(K113-E113)/K113)</f>
        <v/>
      </c>
      <c r="V113" s="6">
        <f>IF(OR(M113="",E113=""),"",(M113-E113)/M113)</f>
        <v/>
      </c>
      <c r="W113" s="6">
        <f>IF(OR(O113="",E113=""),"",(O113-E113)/O113)</f>
        <v/>
      </c>
      <c r="X113" s="6">
        <f>IF(OR(Q113="",E113=""),"",(Q113-E113)/Q113)</f>
        <v/>
      </c>
      <c r="Y113" s="6">
        <f>IF(OR(S113="",E113=""),"",((S113*3500)-E113)/(S113*3500))</f>
        <v/>
      </c>
      <c r="Z113" s="7" t="n"/>
    </row>
    <row r="114">
      <c r="A114" s="2" t="inlineStr">
        <is>
          <t>ANCIENT</t>
        </is>
      </c>
      <c r="B114" s="2" t="inlineStr">
        <is>
          <t>JADE MESH LONG DRESS</t>
        </is>
      </c>
      <c r="C114" s="2" t="inlineStr">
        <is>
          <t>28VE36/JAD</t>
        </is>
      </c>
      <c r="D114" s="2" t="n">
        <v>8000</v>
      </c>
      <c r="E114" s="3" t="n">
        <v>57900</v>
      </c>
      <c r="F114" s="4" t="n">
        <v>11739.386625</v>
      </c>
      <c r="G114" s="3">
        <f>IF(OR(E114="",F114=""),"",E114+F114)</f>
        <v/>
      </c>
      <c r="H114" s="3" t="n">
        <v>82870.87008374999</v>
      </c>
      <c r="I114" s="3" t="n">
        <v>207177.175209375</v>
      </c>
      <c r="J114" s="3" t="n">
        <v>194900</v>
      </c>
      <c r="K114" s="3" t="n">
        <v>93355.46218487395</v>
      </c>
      <c r="L114" s="5" t="n">
        <v>0.2540405778604413</v>
      </c>
      <c r="M114" s="3" t="n">
        <v>114352.2521008403</v>
      </c>
      <c r="N114" s="5" t="n">
        <v>0.3910099246354218</v>
      </c>
      <c r="O114" s="3" t="n">
        <v>204821.725367647</v>
      </c>
      <c r="P114" s="5" t="n">
        <v>0.6599999999999999</v>
      </c>
      <c r="Q114" s="3" t="n">
        <v>122500</v>
      </c>
      <c r="R114" s="5" t="n">
        <v>0.4315152112244898</v>
      </c>
      <c r="S114" s="3" t="n">
        <v>130</v>
      </c>
      <c r="T114" s="5" t="n">
        <v>0.8469464030219781</v>
      </c>
      <c r="U114" s="6">
        <f>IF(OR(K114="",E114=""),"",(K114-E114)/K114)</f>
        <v/>
      </c>
      <c r="V114" s="6">
        <f>IF(OR(M114="",E114=""),"",(M114-E114)/M114)</f>
        <v/>
      </c>
      <c r="W114" s="6">
        <f>IF(OR(O114="",E114=""),"",(O114-E114)/O114)</f>
        <v/>
      </c>
      <c r="X114" s="6">
        <f>IF(OR(Q114="",E114=""),"",(Q114-E114)/Q114)</f>
        <v/>
      </c>
      <c r="Y114" s="6">
        <f>IF(OR(S114="",E114=""),"",((S114*3500)-E114)/(S114*3500))</f>
        <v/>
      </c>
      <c r="Z114" s="7" t="n"/>
    </row>
    <row r="115">
      <c r="A115" s="2" t="inlineStr">
        <is>
          <t>ANCIENT</t>
        </is>
      </c>
      <c r="B115" s="2" t="inlineStr">
        <is>
          <t>JADE WHITE MESH LONG DRESS</t>
        </is>
      </c>
      <c r="C115" s="2" t="inlineStr">
        <is>
          <t>28VE36/JADWH</t>
        </is>
      </c>
      <c r="D115" s="2" t="n">
        <v>8000</v>
      </c>
      <c r="E115" s="3" t="n">
        <v>57900</v>
      </c>
      <c r="F115" s="4" t="n">
        <v>11739.386625</v>
      </c>
      <c r="G115" s="3">
        <f>IF(OR(E115="",F115=""),"",E115+F115)</f>
        <v/>
      </c>
      <c r="H115" s="3" t="n">
        <v>82870.87008374999</v>
      </c>
      <c r="I115" s="3" t="n">
        <v>207177.175209375</v>
      </c>
      <c r="J115" s="3" t="n">
        <v>194900</v>
      </c>
      <c r="K115" s="3" t="n">
        <v>93355.46218487395</v>
      </c>
      <c r="L115" s="5" t="n">
        <v>0.2540405778604413</v>
      </c>
      <c r="M115" s="3" t="n">
        <v>114352.2521008403</v>
      </c>
      <c r="N115" s="5" t="n">
        <v>0.3910099246354218</v>
      </c>
      <c r="O115" s="3" t="n">
        <v>204821.725367647</v>
      </c>
      <c r="P115" s="5" t="n">
        <v>0.6599999999999999</v>
      </c>
      <c r="Q115" s="3" t="n">
        <v>122500</v>
      </c>
      <c r="R115" s="5" t="n">
        <v>0.4315152112244898</v>
      </c>
      <c r="S115" s="3" t="n">
        <v>130</v>
      </c>
      <c r="T115" s="5" t="n">
        <v>0.8469464030219781</v>
      </c>
      <c r="U115" s="6">
        <f>IF(OR(K115="",E115=""),"",(K115-E115)/K115)</f>
        <v/>
      </c>
      <c r="V115" s="6">
        <f>IF(OR(M115="",E115=""),"",(M115-E115)/M115)</f>
        <v/>
      </c>
      <c r="W115" s="6">
        <f>IF(OR(O115="",E115=""),"",(O115-E115)/O115)</f>
        <v/>
      </c>
      <c r="X115" s="6">
        <f>IF(OR(Q115="",E115=""),"",(Q115-E115)/Q115)</f>
        <v/>
      </c>
      <c r="Y115" s="6">
        <f>IF(OR(S115="",E115=""),"",((S115*3500)-E115)/(S115*3500))</f>
        <v/>
      </c>
      <c r="Z115" s="7" t="n"/>
    </row>
    <row r="116">
      <c r="A116" s="2" t="inlineStr">
        <is>
          <t>ANCIENT</t>
        </is>
      </c>
      <c r="B116" s="2" t="inlineStr">
        <is>
          <t>JADE MESH DRESS</t>
        </is>
      </c>
      <c r="C116" s="2" t="inlineStr">
        <is>
          <t>28VE32/JAD</t>
        </is>
      </c>
      <c r="D116" s="2" t="n">
        <v>8000</v>
      </c>
      <c r="E116" s="3" t="n">
        <v>50498.71999999999</v>
      </c>
      <c r="F116" s="4" t="n">
        <v>11739.386625</v>
      </c>
      <c r="G116" s="3">
        <f>IF(OR(E116="",F116=""),"",E116+F116)</f>
        <v/>
      </c>
      <c r="H116" s="3" t="n">
        <v>74063.34688374998</v>
      </c>
      <c r="I116" s="3" t="n">
        <v>185158.367209375</v>
      </c>
      <c r="J116" s="3" t="n">
        <v>179900</v>
      </c>
      <c r="K116" s="3" t="n">
        <v>86170.58823529411</v>
      </c>
      <c r="L116" s="5" t="n">
        <v>0.2777337616048877</v>
      </c>
      <c r="M116" s="3" t="n">
        <v>105551.4117647059</v>
      </c>
      <c r="N116" s="5" t="n">
        <v>0.4103526842090891</v>
      </c>
      <c r="O116" s="3" t="n">
        <v>183053.2547794117</v>
      </c>
      <c r="P116" s="5" t="n">
        <v>0.66</v>
      </c>
      <c r="Q116" s="3" t="n">
        <v>120050</v>
      </c>
      <c r="R116" s="5" t="n">
        <v>0.4815651259891712</v>
      </c>
      <c r="S116" s="3" t="n">
        <v>127.4</v>
      </c>
      <c r="T116" s="5" t="n">
        <v>0.8604213800740076</v>
      </c>
      <c r="U116" s="6">
        <f>IF(OR(K116="",E116=""),"",(K116-E116)/K116)</f>
        <v/>
      </c>
      <c r="V116" s="6">
        <f>IF(OR(M116="",E116=""),"",(M116-E116)/M116)</f>
        <v/>
      </c>
      <c r="W116" s="6">
        <f>IF(OR(O116="",E116=""),"",(O116-E116)/O116)</f>
        <v/>
      </c>
      <c r="X116" s="6">
        <f>IF(OR(Q116="",E116=""),"",(Q116-E116)/Q116)</f>
        <v/>
      </c>
      <c r="Y116" s="6">
        <f>IF(OR(S116="",E116=""),"",((S116*3500)-E116)/(S116*3500))</f>
        <v/>
      </c>
      <c r="Z116" s="7" t="n"/>
    </row>
    <row r="117">
      <c r="A117" s="2" t="inlineStr">
        <is>
          <t>ANCIENT</t>
        </is>
      </c>
      <c r="B117" s="2" t="inlineStr">
        <is>
          <t>JADE CARGO PANTS</t>
        </is>
      </c>
      <c r="C117" s="2" t="inlineStr">
        <is>
          <t>28PA25/JAD</t>
        </is>
      </c>
      <c r="D117" s="2" t="n">
        <v>8000</v>
      </c>
      <c r="E117" s="3" t="n">
        <v>59969.36647619048</v>
      </c>
      <c r="F117" s="4" t="n">
        <v>11739.386625</v>
      </c>
      <c r="G117" s="3">
        <f>IF(OR(E117="",F117=""),"",E117+F117)</f>
        <v/>
      </c>
      <c r="H117" s="3" t="n">
        <v>85333.41619041667</v>
      </c>
      <c r="I117" s="3" t="n">
        <v>213333.5404760416</v>
      </c>
      <c r="J117" s="3" t="n">
        <v>209900</v>
      </c>
      <c r="K117" s="3" t="n">
        <v>100540.3361344538</v>
      </c>
      <c r="L117" s="5" t="n">
        <v>0.2867663282397074</v>
      </c>
      <c r="M117" s="3" t="n">
        <v>123153.0924369748</v>
      </c>
      <c r="N117" s="5" t="n">
        <v>0.4177267360306979</v>
      </c>
      <c r="O117" s="3" t="n">
        <v>210908.0973564426</v>
      </c>
      <c r="P117" s="5" t="n">
        <v>0.66</v>
      </c>
      <c r="Q117" s="3" t="n">
        <v>147000</v>
      </c>
      <c r="R117" s="5" t="n">
        <v>0.512185353053126</v>
      </c>
      <c r="S117" s="3" t="n">
        <v>156</v>
      </c>
      <c r="T117" s="5" t="n">
        <v>0.868665287360457</v>
      </c>
      <c r="U117" s="6">
        <f>IF(OR(K117="",E117=""),"",(K117-E117)/K117)</f>
        <v/>
      </c>
      <c r="V117" s="6">
        <f>IF(OR(M117="",E117=""),"",(M117-E117)/M117)</f>
        <v/>
      </c>
      <c r="W117" s="6">
        <f>IF(OR(O117="",E117=""),"",(O117-E117)/O117)</f>
        <v/>
      </c>
      <c r="X117" s="6">
        <f>IF(OR(Q117="",E117=""),"",(Q117-E117)/Q117)</f>
        <v/>
      </c>
      <c r="Y117" s="6">
        <f>IF(OR(S117="",E117=""),"",((S117*3500)-E117)/(S117*3500))</f>
        <v/>
      </c>
      <c r="Z117" s="7" t="n"/>
    </row>
    <row r="118">
      <c r="A118" s="2" t="inlineStr">
        <is>
          <t>ANCIENT</t>
        </is>
      </c>
      <c r="B118" s="2" t="inlineStr">
        <is>
          <t>JADE SLEEP SLEEVELESS SHIRT</t>
        </is>
      </c>
      <c r="C118" s="2" t="inlineStr">
        <is>
          <t>284124/JAD</t>
        </is>
      </c>
      <c r="D118" s="2" t="n">
        <v>8000</v>
      </c>
      <c r="E118" s="3" t="n">
        <v>21933.56666666665</v>
      </c>
      <c r="F118" s="4" t="n">
        <v>11739.386625</v>
      </c>
      <c r="G118" s="3">
        <f>IF(OR(E118="",F118=""),"",E118+F118)</f>
        <v/>
      </c>
      <c r="H118" s="3" t="n">
        <v>40070.81441708331</v>
      </c>
      <c r="I118" s="3" t="n">
        <v>100177.0360427083</v>
      </c>
      <c r="J118" s="3" t="n">
        <v>89950</v>
      </c>
      <c r="K118" s="3" t="n">
        <v>43085.29411764706</v>
      </c>
      <c r="L118" s="5" t="n">
        <v>0.2184583166655293</v>
      </c>
      <c r="M118" s="3" t="n">
        <v>52775.70588235294</v>
      </c>
      <c r="N118" s="5" t="n">
        <v>0.3619611006865535</v>
      </c>
      <c r="O118" s="3" t="n">
        <v>99038.09791666661</v>
      </c>
      <c r="P118" s="5" t="n">
        <v>0.6599999999999999</v>
      </c>
      <c r="Q118" s="3" t="n">
        <v>36750</v>
      </c>
      <c r="R118" s="5" t="n">
        <v>0.08372916213151972</v>
      </c>
      <c r="S118" s="3" t="n">
        <v>39</v>
      </c>
      <c r="T118" s="5" t="n">
        <v>0.7533116974969476</v>
      </c>
      <c r="U118" s="6">
        <f>IF(OR(K118="",E118=""),"",(K118-E118)/K118)</f>
        <v/>
      </c>
      <c r="V118" s="6">
        <f>IF(OR(M118="",E118=""),"",(M118-E118)/M118)</f>
        <v/>
      </c>
      <c r="W118" s="6">
        <f>IF(OR(O118="",E118=""),"",(O118-E118)/O118)</f>
        <v/>
      </c>
      <c r="X118" s="6">
        <f>IF(OR(Q118="",E118=""),"",(Q118-E118)/Q118)</f>
        <v/>
      </c>
      <c r="Y118" s="6">
        <f>IF(OR(S118="",E118=""),"",((S118*3500)-E118)/(S118*3500))</f>
        <v/>
      </c>
      <c r="Z118" s="7" t="n"/>
    </row>
    <row r="119">
      <c r="A119" s="2" t="inlineStr">
        <is>
          <t>ANCIENT</t>
        </is>
      </c>
      <c r="B119" s="2" t="inlineStr">
        <is>
          <t>JADE SLEEP PANTS</t>
        </is>
      </c>
      <c r="C119" s="2" t="inlineStr">
        <is>
          <t>284323/JAD</t>
        </is>
      </c>
      <c r="D119" s="2" t="n">
        <v>8000</v>
      </c>
      <c r="E119" s="3" t="n">
        <v>21933.56666666665</v>
      </c>
      <c r="F119" s="4" t="n">
        <v>11739.386625</v>
      </c>
      <c r="G119" s="3">
        <f>IF(OR(E119="",F119=""),"",E119+F119)</f>
        <v/>
      </c>
      <c r="H119" s="3" t="n">
        <v>40070.81441708331</v>
      </c>
      <c r="I119" s="3" t="n">
        <v>100177.0360427083</v>
      </c>
      <c r="J119" s="3" t="n">
        <v>89950</v>
      </c>
      <c r="K119" s="3" t="n">
        <v>43085.29411764706</v>
      </c>
      <c r="L119" s="5" t="n">
        <v>0.2184583166655293</v>
      </c>
      <c r="M119" s="3" t="n">
        <v>52775.70588235294</v>
      </c>
      <c r="N119" s="5" t="n">
        <v>0.3619611006865535</v>
      </c>
      <c r="O119" s="3" t="n">
        <v>99038.09791666661</v>
      </c>
      <c r="P119" s="5" t="n">
        <v>0.6599999999999999</v>
      </c>
      <c r="Q119" s="3" t="n">
        <v>44100</v>
      </c>
      <c r="R119" s="5" t="n">
        <v>0.2364409684429331</v>
      </c>
      <c r="S119" s="3" t="n">
        <v>46.8</v>
      </c>
      <c r="T119" s="5" t="n">
        <v>0.7944264145807897</v>
      </c>
      <c r="U119" s="6">
        <f>IF(OR(K119="",E119=""),"",(K119-E119)/K119)</f>
        <v/>
      </c>
      <c r="V119" s="6">
        <f>IF(OR(M119="",E119=""),"",(M119-E119)/M119)</f>
        <v/>
      </c>
      <c r="W119" s="6">
        <f>IF(OR(O119="",E119=""),"",(O119-E119)/O119)</f>
        <v/>
      </c>
      <c r="X119" s="6">
        <f>IF(OR(Q119="",E119=""),"",(Q119-E119)/Q119)</f>
        <v/>
      </c>
      <c r="Y119" s="6">
        <f>IF(OR(S119="",E119=""),"",((S119*3500)-E119)/(S119*3500))</f>
        <v/>
      </c>
      <c r="Z119" s="7" t="n"/>
    </row>
    <row r="120">
      <c r="A120" s="2" t="inlineStr">
        <is>
          <t>ANCIENT</t>
        </is>
      </c>
      <c r="B120" s="2" t="inlineStr">
        <is>
          <t>I'M BLUE CLASSIC WIDE LEG JEAN</t>
        </is>
      </c>
      <c r="C120" s="2" t="inlineStr">
        <is>
          <t>29PA28/DBLU</t>
        </is>
      </c>
      <c r="D120" s="2" t="n">
        <v>8000</v>
      </c>
      <c r="E120" s="3" t="n"/>
      <c r="F120" s="4" t="n">
        <v>11739.386625</v>
      </c>
      <c r="G120" s="3">
        <f>IF(OR(E120="",F120=""),"",E120+F120)</f>
        <v/>
      </c>
      <c r="H120" s="3" t="n">
        <v>13969.87008375</v>
      </c>
      <c r="I120" s="3" t="n">
        <v>34924.675209375</v>
      </c>
      <c r="J120" s="3" t="n"/>
      <c r="K120" s="3" t="n">
        <v>0</v>
      </c>
      <c r="L120" s="5" t="e">
        <v>#DIV/0!</v>
      </c>
      <c r="M120" s="3" t="n">
        <v>0</v>
      </c>
      <c r="N120" s="5" t="e">
        <v>#DIV/0!</v>
      </c>
      <c r="O120" s="3" t="n">
        <v>34527.60772058823</v>
      </c>
      <c r="P120" s="5" t="n">
        <v>0.66</v>
      </c>
      <c r="Q120" s="3" t="n">
        <v>0</v>
      </c>
      <c r="R120" s="5" t="e">
        <v>#DIV/0!</v>
      </c>
      <c r="S120" s="3" t="n">
        <v>0</v>
      </c>
      <c r="T120" s="5" t="e">
        <v>#DIV/0!</v>
      </c>
      <c r="U120" s="6">
        <f>IF(OR(K120="",E120=""),"",(K120-E120)/K120)</f>
        <v/>
      </c>
      <c r="V120" s="6">
        <f>IF(OR(M120="",E120=""),"",(M120-E120)/M120)</f>
        <v/>
      </c>
      <c r="W120" s="6">
        <f>IF(OR(O120="",E120=""),"",(O120-E120)/O120)</f>
        <v/>
      </c>
      <c r="X120" s="6">
        <f>IF(OR(Q120="",E120=""),"",(Q120-E120)/Q120)</f>
        <v/>
      </c>
      <c r="Y120" s="6">
        <f>IF(OR(S120="",E120=""),"",((S120*3500)-E120)/(S120*3500))</f>
        <v/>
      </c>
      <c r="Z120" s="8" t="inlineStr">
        <is>
          <t>Falta costo directo (COSTO PRODUCTO) en el archivo original — ya venía como #DIV/0! ahí</t>
        </is>
      </c>
    </row>
    <row r="121">
      <c r="A121" s="2" t="inlineStr">
        <is>
          <t>ANCIENT</t>
        </is>
      </c>
      <c r="B121" s="2" t="inlineStr">
        <is>
          <t>CLARIDAD HALTER BODY</t>
        </is>
      </c>
      <c r="C121" s="2" t="inlineStr">
        <is>
          <t>295026/YEW</t>
        </is>
      </c>
      <c r="D121" s="2" t="n">
        <v>8000</v>
      </c>
      <c r="E121" s="3" t="n">
        <v>39487.1</v>
      </c>
      <c r="F121" s="4" t="n">
        <v>11739.386625</v>
      </c>
      <c r="G121" s="3">
        <f>IF(OR(E121="",F121=""),"",E121+F121)</f>
        <v/>
      </c>
      <c r="H121" s="3" t="n">
        <v>60959.51908375</v>
      </c>
      <c r="I121" s="3" t="n">
        <v>152398.797709375</v>
      </c>
      <c r="J121" s="3" t="n">
        <v>159900</v>
      </c>
      <c r="K121" s="3" t="n">
        <v>76590.75630252101</v>
      </c>
      <c r="L121" s="5" t="n">
        <v>0.3311661994475715</v>
      </c>
      <c r="M121" s="3" t="n">
        <v>93816.95798319328</v>
      </c>
      <c r="N121" s="5" t="n">
        <v>0.4539741244415865</v>
      </c>
      <c r="O121" s="3" t="n">
        <v>150666.1371323529</v>
      </c>
      <c r="P121" s="5" t="n">
        <v>0.66</v>
      </c>
      <c r="Q121" s="3" t="n">
        <v>105350</v>
      </c>
      <c r="R121" s="5" t="n">
        <v>0.5137495336971998</v>
      </c>
      <c r="S121" s="3" t="n">
        <v>111.8</v>
      </c>
      <c r="T121" s="5" t="n">
        <v>0.8690864129184768</v>
      </c>
      <c r="U121" s="6">
        <f>IF(OR(K121="",E121=""),"",(K121-E121)/K121)</f>
        <v/>
      </c>
      <c r="V121" s="6">
        <f>IF(OR(M121="",E121=""),"",(M121-E121)/M121)</f>
        <v/>
      </c>
      <c r="W121" s="6">
        <f>IF(OR(O121="",E121=""),"",(O121-E121)/O121)</f>
        <v/>
      </c>
      <c r="X121" s="6">
        <f>IF(OR(Q121="",E121=""),"",(Q121-E121)/Q121)</f>
        <v/>
      </c>
      <c r="Y121" s="6">
        <f>IF(OR(S121="",E121=""),"",((S121*3500)-E121)/(S121*3500))</f>
        <v/>
      </c>
      <c r="Z121" s="7" t="n"/>
    </row>
    <row r="122">
      <c r="A122" s="2" t="inlineStr">
        <is>
          <t>ANCIENT</t>
        </is>
      </c>
      <c r="B122" s="2" t="inlineStr">
        <is>
          <t>LUZ HALTER BODY</t>
        </is>
      </c>
      <c r="C122" s="2" t="inlineStr">
        <is>
          <t>295026/IVRY</t>
        </is>
      </c>
      <c r="D122" s="2" t="n">
        <v>8000</v>
      </c>
      <c r="E122" s="3" t="n">
        <v>39487.1</v>
      </c>
      <c r="F122" s="4" t="n">
        <v>11739.386625</v>
      </c>
      <c r="G122" s="3">
        <f>IF(OR(E122="",F122=""),"",E122+F122)</f>
        <v/>
      </c>
      <c r="H122" s="3" t="n">
        <v>60959.51908375</v>
      </c>
      <c r="I122" s="3" t="n">
        <v>152398.797709375</v>
      </c>
      <c r="J122" s="3" t="n">
        <v>159900</v>
      </c>
      <c r="K122" s="3" t="n">
        <v>76590.75630252101</v>
      </c>
      <c r="L122" s="5" t="n">
        <v>0.3311661994475715</v>
      </c>
      <c r="M122" s="3" t="n">
        <v>93816.95798319328</v>
      </c>
      <c r="N122" s="5" t="n">
        <v>0.4539741244415865</v>
      </c>
      <c r="O122" s="3" t="n">
        <v>150666.1371323529</v>
      </c>
      <c r="P122" s="5" t="n">
        <v>0.66</v>
      </c>
      <c r="Q122" s="3" t="n">
        <v>105350</v>
      </c>
      <c r="R122" s="5" t="n">
        <v>0.5137495336971998</v>
      </c>
      <c r="S122" s="3" t="n">
        <v>111.8</v>
      </c>
      <c r="T122" s="5" t="n">
        <v>0.8690864129184768</v>
      </c>
      <c r="U122" s="6">
        <f>IF(OR(K122="",E122=""),"",(K122-E122)/K122)</f>
        <v/>
      </c>
      <c r="V122" s="6">
        <f>IF(OR(M122="",E122=""),"",(M122-E122)/M122)</f>
        <v/>
      </c>
      <c r="W122" s="6">
        <f>IF(OR(O122="",E122=""),"",(O122-E122)/O122)</f>
        <v/>
      </c>
      <c r="X122" s="6">
        <f>IF(OR(Q122="",E122=""),"",(Q122-E122)/Q122)</f>
        <v/>
      </c>
      <c r="Y122" s="6">
        <f>IF(OR(S122="",E122=""),"",((S122*3500)-E122)/(S122*3500))</f>
        <v/>
      </c>
      <c r="Z122" s="7" t="n"/>
    </row>
    <row r="123">
      <c r="A123" s="2" t="inlineStr">
        <is>
          <t>ANCIENT</t>
        </is>
      </c>
      <c r="B123" s="2" t="inlineStr">
        <is>
          <t>FUERZA HALTER BODY</t>
        </is>
      </c>
      <c r="C123" s="2" t="inlineStr">
        <is>
          <t>295026/BLA</t>
        </is>
      </c>
      <c r="D123" s="2" t="n">
        <v>8000</v>
      </c>
      <c r="E123" s="3" t="n">
        <v>39487.1</v>
      </c>
      <c r="F123" s="4" t="n">
        <v>11739.386625</v>
      </c>
      <c r="G123" s="3">
        <f>IF(OR(E123="",F123=""),"",E123+F123)</f>
        <v/>
      </c>
      <c r="H123" s="3" t="n">
        <v>60959.51908375</v>
      </c>
      <c r="I123" s="3" t="n">
        <v>152398.797709375</v>
      </c>
      <c r="J123" s="3" t="n">
        <v>159900</v>
      </c>
      <c r="K123" s="3" t="n">
        <v>76590.75630252101</v>
      </c>
      <c r="L123" s="5" t="n">
        <v>0.3311661994475715</v>
      </c>
      <c r="M123" s="3" t="n">
        <v>93816.95798319328</v>
      </c>
      <c r="N123" s="5" t="n">
        <v>0.4539741244415865</v>
      </c>
      <c r="O123" s="3" t="n">
        <v>150666.1371323529</v>
      </c>
      <c r="P123" s="5" t="n">
        <v>0.66</v>
      </c>
      <c r="Q123" s="3" t="n">
        <v>105350</v>
      </c>
      <c r="R123" s="5" t="n">
        <v>0.5137495336971998</v>
      </c>
      <c r="S123" s="3" t="n">
        <v>111.8</v>
      </c>
      <c r="T123" s="5" t="n">
        <v>0.8690864129184768</v>
      </c>
      <c r="U123" s="6">
        <f>IF(OR(K123="",E123=""),"",(K123-E123)/K123)</f>
        <v/>
      </c>
      <c r="V123" s="6">
        <f>IF(OR(M123="",E123=""),"",(M123-E123)/M123)</f>
        <v/>
      </c>
      <c r="W123" s="6">
        <f>IF(OR(O123="",E123=""),"",(O123-E123)/O123)</f>
        <v/>
      </c>
      <c r="X123" s="6">
        <f>IF(OR(Q123="",E123=""),"",(Q123-E123)/Q123)</f>
        <v/>
      </c>
      <c r="Y123" s="6">
        <f>IF(OR(S123="",E123=""),"",((S123*3500)-E123)/(S123*3500))</f>
        <v/>
      </c>
      <c r="Z123" s="7" t="n"/>
    </row>
    <row r="124">
      <c r="A124" s="2" t="inlineStr">
        <is>
          <t>ANCIENT</t>
        </is>
      </c>
      <c r="B124" s="2" t="inlineStr">
        <is>
          <t>EQUILIBRIO HALTER BODY</t>
        </is>
      </c>
      <c r="C124" s="2" t="inlineStr">
        <is>
          <t>295026/IMIL</t>
        </is>
      </c>
      <c r="D124" s="2" t="n">
        <v>8000</v>
      </c>
      <c r="E124" s="3" t="n">
        <v>39487.1</v>
      </c>
      <c r="F124" s="4" t="n">
        <v>11739.386625</v>
      </c>
      <c r="G124" s="3">
        <f>IF(OR(E124="",F124=""),"",E124+F124)</f>
        <v/>
      </c>
      <c r="H124" s="3" t="n">
        <v>60959.51908375</v>
      </c>
      <c r="I124" s="3" t="n">
        <v>152398.797709375</v>
      </c>
      <c r="J124" s="3" t="n">
        <v>159900</v>
      </c>
      <c r="K124" s="3" t="n">
        <v>76590.75630252101</v>
      </c>
      <c r="L124" s="5" t="n">
        <v>0.3311661994475715</v>
      </c>
      <c r="M124" s="3" t="n">
        <v>93816.95798319328</v>
      </c>
      <c r="N124" s="5" t="n">
        <v>0.4539741244415865</v>
      </c>
      <c r="O124" s="3" t="n">
        <v>150666.1371323529</v>
      </c>
      <c r="P124" s="5" t="n">
        <v>0.66</v>
      </c>
      <c r="Q124" s="3" t="n">
        <v>105350</v>
      </c>
      <c r="R124" s="5" t="n">
        <v>0.5137495336971998</v>
      </c>
      <c r="S124" s="3" t="n">
        <v>111.8</v>
      </c>
      <c r="T124" s="5" t="n">
        <v>0.8690864129184768</v>
      </c>
      <c r="U124" s="6">
        <f>IF(OR(K124="",E124=""),"",(K124-E124)/K124)</f>
        <v/>
      </c>
      <c r="V124" s="6">
        <f>IF(OR(M124="",E124=""),"",(M124-E124)/M124)</f>
        <v/>
      </c>
      <c r="W124" s="6">
        <f>IF(OR(O124="",E124=""),"",(O124-E124)/O124)</f>
        <v/>
      </c>
      <c r="X124" s="6">
        <f>IF(OR(Q124="",E124=""),"",(Q124-E124)/Q124)</f>
        <v/>
      </c>
      <c r="Y124" s="6">
        <f>IF(OR(S124="",E124=""),"",((S124*3500)-E124)/(S124*3500))</f>
        <v/>
      </c>
      <c r="Z124" s="7" t="n"/>
    </row>
    <row r="125">
      <c r="A125" s="2" t="inlineStr">
        <is>
          <t>ANCIENT</t>
        </is>
      </c>
      <c r="B125" s="2" t="inlineStr">
        <is>
          <t>CERTEZA HALTER BODY</t>
        </is>
      </c>
      <c r="C125" s="2" t="inlineStr">
        <is>
          <t>295026/CHOLT</t>
        </is>
      </c>
      <c r="D125" s="2" t="n">
        <v>8000</v>
      </c>
      <c r="E125" s="3" t="n">
        <v>39487.1</v>
      </c>
      <c r="F125" s="4" t="n">
        <v>11739.386625</v>
      </c>
      <c r="G125" s="3">
        <f>IF(OR(E125="",F125=""),"",E125+F125)</f>
        <v/>
      </c>
      <c r="H125" s="3" t="n">
        <v>60959.51908375</v>
      </c>
      <c r="I125" s="3" t="n">
        <v>152398.797709375</v>
      </c>
      <c r="J125" s="3" t="n">
        <v>159900</v>
      </c>
      <c r="K125" s="3" t="n">
        <v>76590.75630252101</v>
      </c>
      <c r="L125" s="5" t="n">
        <v>0.3311661994475715</v>
      </c>
      <c r="M125" s="3" t="n">
        <v>93816.95798319328</v>
      </c>
      <c r="N125" s="5" t="n">
        <v>0.4539741244415865</v>
      </c>
      <c r="O125" s="3" t="n">
        <v>150666.1371323529</v>
      </c>
      <c r="P125" s="5" t="n">
        <v>0.66</v>
      </c>
      <c r="Q125" s="3" t="n">
        <v>105350</v>
      </c>
      <c r="R125" s="5" t="n">
        <v>0.5137495336971998</v>
      </c>
      <c r="S125" s="3" t="n">
        <v>111.8</v>
      </c>
      <c r="T125" s="5" t="n">
        <v>0.8690864129184768</v>
      </c>
      <c r="U125" s="6">
        <f>IF(OR(K125="",E125=""),"",(K125-E125)/K125)</f>
        <v/>
      </c>
      <c r="V125" s="6">
        <f>IF(OR(M125="",E125=""),"",(M125-E125)/M125)</f>
        <v/>
      </c>
      <c r="W125" s="6">
        <f>IF(OR(O125="",E125=""),"",(O125-E125)/O125)</f>
        <v/>
      </c>
      <c r="X125" s="6">
        <f>IF(OR(Q125="",E125=""),"",(Q125-E125)/Q125)</f>
        <v/>
      </c>
      <c r="Y125" s="6">
        <f>IF(OR(S125="",E125=""),"",((S125*3500)-E125)/(S125*3500))</f>
        <v/>
      </c>
      <c r="Z125" s="7" t="n"/>
    </row>
    <row r="126">
      <c r="A126" s="2" t="inlineStr">
        <is>
          <t>ANCIENT</t>
        </is>
      </c>
      <c r="B126" s="2" t="inlineStr">
        <is>
          <t>FUERZA MESH LONG SLEEVE BODY</t>
        </is>
      </c>
      <c r="C126" s="2" t="inlineStr">
        <is>
          <t>295027/BLA</t>
        </is>
      </c>
      <c r="D126" s="2" t="n">
        <v>8000</v>
      </c>
      <c r="E126" s="3" t="n">
        <v>44907.3</v>
      </c>
      <c r="F126" s="4" t="n">
        <v>11739.386625</v>
      </c>
      <c r="G126" s="3">
        <f>IF(OR(E126="",F126=""),"",E126+F126)</f>
        <v/>
      </c>
      <c r="H126" s="3" t="n">
        <v>67409.55708375</v>
      </c>
      <c r="I126" s="3" t="n">
        <v>168523.892709375</v>
      </c>
      <c r="J126" s="3" t="n">
        <v>169900</v>
      </c>
      <c r="K126" s="3" t="n">
        <v>81380.67226890755</v>
      </c>
      <c r="L126" s="5" t="n">
        <v>0.3039294829388803</v>
      </c>
      <c r="M126" s="3" t="n">
        <v>99684.18487394958</v>
      </c>
      <c r="N126" s="5" t="n">
        <v>0.4317384779077081</v>
      </c>
      <c r="O126" s="3" t="n">
        <v>166607.9018382353</v>
      </c>
      <c r="P126" s="5" t="n">
        <v>0.66</v>
      </c>
      <c r="Q126" s="3" t="n">
        <v>110250</v>
      </c>
      <c r="R126" s="5" t="n">
        <v>0.4861978537414965</v>
      </c>
      <c r="S126" s="3" t="n">
        <v>117</v>
      </c>
      <c r="T126" s="5" t="n">
        <v>0.861668652930403</v>
      </c>
      <c r="U126" s="6">
        <f>IF(OR(K126="",E126=""),"",(K126-E126)/K126)</f>
        <v/>
      </c>
      <c r="V126" s="6">
        <f>IF(OR(M126="",E126=""),"",(M126-E126)/M126)</f>
        <v/>
      </c>
      <c r="W126" s="6">
        <f>IF(OR(O126="",E126=""),"",(O126-E126)/O126)</f>
        <v/>
      </c>
      <c r="X126" s="6">
        <f>IF(OR(Q126="",E126=""),"",(Q126-E126)/Q126)</f>
        <v/>
      </c>
      <c r="Y126" s="6">
        <f>IF(OR(S126="",E126=""),"",((S126*3500)-E126)/(S126*3500))</f>
        <v/>
      </c>
      <c r="Z126" s="7" t="n"/>
    </row>
    <row r="127">
      <c r="A127" s="2" t="inlineStr">
        <is>
          <t>ANCIENT</t>
        </is>
      </c>
      <c r="B127" s="2" t="inlineStr">
        <is>
          <t>EQUILIBRIO MESH LONG SLEEVE BODY</t>
        </is>
      </c>
      <c r="C127" s="2" t="inlineStr">
        <is>
          <t>295027/IMIL</t>
        </is>
      </c>
      <c r="D127" s="2" t="n">
        <v>8000</v>
      </c>
      <c r="E127" s="3" t="n">
        <v>44907.3</v>
      </c>
      <c r="F127" s="4" t="n">
        <v>11739.386625</v>
      </c>
      <c r="G127" s="3">
        <f>IF(OR(E127="",F127=""),"",E127+F127)</f>
        <v/>
      </c>
      <c r="H127" s="3" t="n">
        <v>67409.55708375</v>
      </c>
      <c r="I127" s="3" t="n">
        <v>168523.892709375</v>
      </c>
      <c r="J127" s="3" t="n">
        <v>169900</v>
      </c>
      <c r="K127" s="3" t="n">
        <v>81380.67226890755</v>
      </c>
      <c r="L127" s="5" t="n">
        <v>0.3039294829388803</v>
      </c>
      <c r="M127" s="3" t="n">
        <v>99684.18487394958</v>
      </c>
      <c r="N127" s="5" t="n">
        <v>0.4317384779077081</v>
      </c>
      <c r="O127" s="3" t="n">
        <v>166607.9018382353</v>
      </c>
      <c r="P127" s="5" t="n">
        <v>0.66</v>
      </c>
      <c r="Q127" s="3" t="n">
        <v>110250</v>
      </c>
      <c r="R127" s="5" t="n">
        <v>0.4861978537414965</v>
      </c>
      <c r="S127" s="3" t="n">
        <v>117</v>
      </c>
      <c r="T127" s="5" t="n">
        <v>0.861668652930403</v>
      </c>
      <c r="U127" s="6">
        <f>IF(OR(K127="",E127=""),"",(K127-E127)/K127)</f>
        <v/>
      </c>
      <c r="V127" s="6">
        <f>IF(OR(M127="",E127=""),"",(M127-E127)/M127)</f>
        <v/>
      </c>
      <c r="W127" s="6">
        <f>IF(OR(O127="",E127=""),"",(O127-E127)/O127)</f>
        <v/>
      </c>
      <c r="X127" s="6">
        <f>IF(OR(Q127="",E127=""),"",(Q127-E127)/Q127)</f>
        <v/>
      </c>
      <c r="Y127" s="6">
        <f>IF(OR(S127="",E127=""),"",((S127*3500)-E127)/(S127*3500))</f>
        <v/>
      </c>
      <c r="Z127" s="7" t="n"/>
    </row>
    <row r="128">
      <c r="A128" s="2" t="inlineStr">
        <is>
          <t>ANCIENT</t>
        </is>
      </c>
      <c r="B128" s="2" t="inlineStr">
        <is>
          <t>CERTEZA MESH LONG SLEEVE BODY</t>
        </is>
      </c>
      <c r="C128" s="2" t="inlineStr">
        <is>
          <t>295027/CHOLT</t>
        </is>
      </c>
      <c r="D128" s="2" t="n">
        <v>8000</v>
      </c>
      <c r="E128" s="3" t="n">
        <v>44907.3</v>
      </c>
      <c r="F128" s="4" t="n">
        <v>11739.386625</v>
      </c>
      <c r="G128" s="3">
        <f>IF(OR(E128="",F128=""),"",E128+F128)</f>
        <v/>
      </c>
      <c r="H128" s="3" t="n">
        <v>67409.55708375</v>
      </c>
      <c r="I128" s="3" t="n">
        <v>168523.892709375</v>
      </c>
      <c r="J128" s="3" t="n">
        <v>169900</v>
      </c>
      <c r="K128" s="3" t="n">
        <v>81380.67226890755</v>
      </c>
      <c r="L128" s="5" t="n">
        <v>0.3039294829388803</v>
      </c>
      <c r="M128" s="3" t="n">
        <v>99684.18487394958</v>
      </c>
      <c r="N128" s="5" t="n">
        <v>0.4317384779077081</v>
      </c>
      <c r="O128" s="3" t="n">
        <v>166607.9018382353</v>
      </c>
      <c r="P128" s="5" t="n">
        <v>0.66</v>
      </c>
      <c r="Q128" s="3" t="n">
        <v>110250</v>
      </c>
      <c r="R128" s="5" t="n">
        <v>0.4861978537414965</v>
      </c>
      <c r="S128" s="3" t="n">
        <v>117</v>
      </c>
      <c r="T128" s="5" t="n">
        <v>0.861668652930403</v>
      </c>
      <c r="U128" s="6">
        <f>IF(OR(K128="",E128=""),"",(K128-E128)/K128)</f>
        <v/>
      </c>
      <c r="V128" s="6">
        <f>IF(OR(M128="",E128=""),"",(M128-E128)/M128)</f>
        <v/>
      </c>
      <c r="W128" s="6">
        <f>IF(OR(O128="",E128=""),"",(O128-E128)/O128)</f>
        <v/>
      </c>
      <c r="X128" s="6">
        <f>IF(OR(Q128="",E128=""),"",(Q128-E128)/Q128)</f>
        <v/>
      </c>
      <c r="Y128" s="6">
        <f>IF(OR(S128="",E128=""),"",((S128*3500)-E128)/(S128*3500))</f>
        <v/>
      </c>
      <c r="Z128" s="7" t="n"/>
    </row>
    <row r="129">
      <c r="A129" s="2" t="inlineStr">
        <is>
          <t>ANCIENT</t>
        </is>
      </c>
      <c r="B129" s="2" t="inlineStr">
        <is>
          <t>SET MESH KNIT PANTS</t>
        </is>
      </c>
      <c r="C129" s="2" t="n"/>
      <c r="D129" s="2" t="n">
        <v>8000</v>
      </c>
      <c r="E129" s="3" t="n">
        <v>67989.1125</v>
      </c>
      <c r="F129" s="4" t="n">
        <v>11739.386625</v>
      </c>
      <c r="G129" s="3">
        <f>IF(OR(E129="",F129=""),"",E129+F129)</f>
        <v/>
      </c>
      <c r="H129" s="3" t="n">
        <v>94876.91395875</v>
      </c>
      <c r="I129" s="3" t="n">
        <v>237192.284896875</v>
      </c>
      <c r="J129" s="3" t="n">
        <v>259900</v>
      </c>
      <c r="K129" s="3" t="n">
        <v>124489.9159663865</v>
      </c>
      <c r="L129" s="5" t="n">
        <v>0.3595585754389339</v>
      </c>
      <c r="M129" s="3" t="n">
        <v>152489.2268907563</v>
      </c>
      <c r="N129" s="5" t="n">
        <v>0.4771532340306393</v>
      </c>
      <c r="O129" s="3" t="n">
        <v>234495.5856617647</v>
      </c>
      <c r="P129" s="5" t="n">
        <v>0.6599999999999999</v>
      </c>
      <c r="Q129" s="3" t="n">
        <v>176400</v>
      </c>
      <c r="R129" s="5" t="n">
        <v>0.5480243813775511</v>
      </c>
      <c r="S129" s="3" t="n">
        <v>187.2</v>
      </c>
      <c r="T129" s="5" t="n">
        <v>0.8783142565247254</v>
      </c>
      <c r="U129" s="6">
        <f>IF(OR(K129="",E129=""),"",(K129-E129)/K129)</f>
        <v/>
      </c>
      <c r="V129" s="6">
        <f>IF(OR(M129="",E129=""),"",(M129-E129)/M129)</f>
        <v/>
      </c>
      <c r="W129" s="6">
        <f>IF(OR(O129="",E129=""),"",(O129-E129)/O129)</f>
        <v/>
      </c>
      <c r="X129" s="6">
        <f>IF(OR(Q129="",E129=""),"",(Q129-E129)/Q129)</f>
        <v/>
      </c>
      <c r="Y129" s="6">
        <f>IF(OR(S129="",E129=""),"",((S129*3500)-E129)/(S129*3500))</f>
        <v/>
      </c>
      <c r="Z129" s="8" t="inlineStr">
        <is>
          <t>Falta código de referencia (SKU) en el archivo original</t>
        </is>
      </c>
    </row>
    <row r="130">
      <c r="A130" s="2" t="inlineStr">
        <is>
          <t>ANCIENT</t>
        </is>
      </c>
      <c r="B130" s="2" t="inlineStr">
        <is>
          <t>TOTE BAG</t>
        </is>
      </c>
      <c r="C130" s="2" t="n"/>
      <c r="D130" s="2" t="n">
        <v>8000</v>
      </c>
      <c r="E130" s="3" t="n">
        <v>15000</v>
      </c>
      <c r="F130" s="4" t="n">
        <v>6750</v>
      </c>
      <c r="G130" s="3">
        <f>IF(OR(E130="",F130=""),"",E130+F130)</f>
        <v/>
      </c>
      <c r="H130" s="3" t="n">
        <v>25882.5</v>
      </c>
      <c r="I130" s="3" t="n">
        <v>64706.25</v>
      </c>
      <c r="J130" s="3" t="n">
        <v>59900</v>
      </c>
      <c r="K130" s="3" t="n">
        <v>40268.90756302522</v>
      </c>
      <c r="L130" s="5" t="n">
        <v>0.4598810517529217</v>
      </c>
      <c r="M130" s="3" t="n">
        <v>35144.68907563025</v>
      </c>
      <c r="N130" s="5" t="n">
        <v>0.3811298215444532</v>
      </c>
      <c r="O130" s="3" t="n">
        <v>63970.58823529411</v>
      </c>
      <c r="P130" s="5" t="n">
        <v>0.6599999999999999</v>
      </c>
      <c r="Q130" s="3" t="n">
        <v>176400</v>
      </c>
      <c r="R130" s="5" t="n">
        <v>0.8767006802721088</v>
      </c>
      <c r="S130" s="3" t="n">
        <v>187.2</v>
      </c>
      <c r="T130" s="5" t="n">
        <v>0.9668040293040293</v>
      </c>
      <c r="U130" s="6">
        <f>IF(OR(K130="",E130=""),"",(K130-E130)/K130)</f>
        <v/>
      </c>
      <c r="V130" s="6">
        <f>IF(OR(M130="",E130=""),"",(M130-E130)/M130)</f>
        <v/>
      </c>
      <c r="W130" s="6">
        <f>IF(OR(O130="",E130=""),"",(O130-E130)/O130)</f>
        <v/>
      </c>
      <c r="X130" s="6">
        <f>IF(OR(Q130="",E130=""),"",(Q130-E130)/Q130)</f>
        <v/>
      </c>
      <c r="Y130" s="6">
        <f>IF(OR(S130="",E130=""),"",((S130*3500)-E130)/(S130*3500))</f>
        <v/>
      </c>
      <c r="Z130" s="8" t="inlineStr">
        <is>
          <t>Falta código de referencia (SKU) en el archivo original</t>
        </is>
      </c>
    </row>
    <row r="131">
      <c r="A131" s="2" t="inlineStr">
        <is>
          <t>ANCIENT</t>
        </is>
      </c>
      <c r="B131" s="2" t="inlineStr">
        <is>
          <t>SOLAR T-SHIRT</t>
        </is>
      </c>
      <c r="C131" s="2" t="inlineStr">
        <is>
          <t>28TSH20/SLR</t>
        </is>
      </c>
      <c r="D131" s="2" t="n">
        <v>8000</v>
      </c>
      <c r="E131" s="3" t="n">
        <v>38669.64705882353</v>
      </c>
      <c r="F131" s="4" t="n">
        <v>6750</v>
      </c>
      <c r="G131" s="3">
        <f>IF(OR(E131="",F131=""),"",E131+F131)</f>
        <v/>
      </c>
      <c r="H131" s="3" t="n">
        <v>54049.38</v>
      </c>
      <c r="I131" s="3" t="n">
        <v>135123.45</v>
      </c>
      <c r="J131" s="3" t="n">
        <v>129900</v>
      </c>
      <c r="K131" s="3" t="n">
        <v>62221.00840336135</v>
      </c>
      <c r="L131" s="5" t="n">
        <v>0.2700271463879097</v>
      </c>
      <c r="M131" s="3" t="n">
        <v>76215.27731092437</v>
      </c>
      <c r="N131" s="5" t="n">
        <v>0.4040611192224413</v>
      </c>
      <c r="O131" s="3" t="n">
        <v>133587.1972318339</v>
      </c>
      <c r="P131" s="5" t="n">
        <v>0.66</v>
      </c>
      <c r="Q131" s="3" t="n">
        <v>83299.99999999999</v>
      </c>
      <c r="R131" s="5" t="n">
        <v>0.4547461337476166</v>
      </c>
      <c r="S131" s="3" t="n">
        <v>88.40000000000001</v>
      </c>
      <c r="T131" s="5" t="n">
        <v>0.8532008821628198</v>
      </c>
      <c r="U131" s="6">
        <f>IF(OR(K131="",E131=""),"",(K131-E131)/K131)</f>
        <v/>
      </c>
      <c r="V131" s="6">
        <f>IF(OR(M131="",E131=""),"",(M131-E131)/M131)</f>
        <v/>
      </c>
      <c r="W131" s="6">
        <f>IF(OR(O131="",E131=""),"",(O131-E131)/O131)</f>
        <v/>
      </c>
      <c r="X131" s="6">
        <f>IF(OR(Q131="",E131=""),"",(Q131-E131)/Q131)</f>
        <v/>
      </c>
      <c r="Y131" s="6">
        <f>IF(OR(S131="",E131=""),"",((S131*3500)-E131)/(S131*3500))</f>
        <v/>
      </c>
      <c r="Z131" s="7" t="n"/>
    </row>
    <row r="132">
      <c r="A132" s="2" t="inlineStr">
        <is>
          <t>ANCIENT</t>
        </is>
      </c>
      <c r="B132" s="2" t="inlineStr">
        <is>
          <t>COLLAR AMARILLO</t>
        </is>
      </c>
      <c r="C132" s="2" t="n"/>
      <c r="D132" s="2" t="n">
        <v>8000</v>
      </c>
      <c r="E132" s="3" t="n">
        <v>25000</v>
      </c>
      <c r="F132" s="4" t="n">
        <v>3800</v>
      </c>
      <c r="G132" s="3">
        <f>IF(OR(E132="",F132=""),"",E132+F132)</f>
        <v/>
      </c>
      <c r="H132" s="3" t="n">
        <v>34272</v>
      </c>
      <c r="I132" s="3" t="n">
        <v>85680</v>
      </c>
      <c r="J132" s="3" t="n">
        <v>79900</v>
      </c>
      <c r="K132" s="3" t="n">
        <v>38271.42857142857</v>
      </c>
      <c r="L132" s="5" t="n">
        <v>0.2474804031354984</v>
      </c>
      <c r="M132" s="3" t="n">
        <v>46879.14285714286</v>
      </c>
      <c r="N132" s="5" t="n">
        <v>0.3856542964583701</v>
      </c>
      <c r="O132" s="3" t="n">
        <v>84705.88235294117</v>
      </c>
      <c r="P132" s="5" t="n">
        <v>0.66</v>
      </c>
      <c r="Q132" s="3" t="n">
        <v>83299.99999999999</v>
      </c>
      <c r="R132" s="5" t="n">
        <v>0.6542617046818727</v>
      </c>
      <c r="S132" s="3" t="n">
        <v>88.40000000000001</v>
      </c>
      <c r="T132" s="5" t="n">
        <v>0.9069166127989657</v>
      </c>
      <c r="U132" s="6">
        <f>IF(OR(K132="",E132=""),"",(K132-E132)/K132)</f>
        <v/>
      </c>
      <c r="V132" s="6">
        <f>IF(OR(M132="",E132=""),"",(M132-E132)/M132)</f>
        <v/>
      </c>
      <c r="W132" s="6">
        <f>IF(OR(O132="",E132=""),"",(O132-E132)/O132)</f>
        <v/>
      </c>
      <c r="X132" s="6">
        <f>IF(OR(Q132="",E132=""),"",(Q132-E132)/Q132)</f>
        <v/>
      </c>
      <c r="Y132" s="6">
        <f>IF(OR(S132="",E132=""),"",((S132*3500)-E132)/(S132*3500))</f>
        <v/>
      </c>
      <c r="Z132" s="8" t="inlineStr">
        <is>
          <t>Falta código de referencia (SKU) en el archivo original</t>
        </is>
      </c>
    </row>
    <row r="133">
      <c r="A133" s="2" t="inlineStr">
        <is>
          <t>ANCIENT</t>
        </is>
      </c>
      <c r="B133" s="2" t="inlineStr">
        <is>
          <t>COLLAR AZUL</t>
        </is>
      </c>
      <c r="C133" s="2" t="n"/>
      <c r="D133" s="2" t="n">
        <v>8000</v>
      </c>
      <c r="E133" s="3" t="n">
        <v>18000</v>
      </c>
      <c r="F133" s="4" t="n">
        <v>3800</v>
      </c>
      <c r="G133" s="3">
        <f>IF(OR(E133="",F133=""),"",E133+F133)</f>
        <v/>
      </c>
      <c r="H133" s="3" t="n">
        <v>25942</v>
      </c>
      <c r="I133" s="3" t="n">
        <v>64855</v>
      </c>
      <c r="J133" s="3" t="n">
        <v>69900</v>
      </c>
      <c r="K133" s="3" t="n">
        <v>33481.51260504201</v>
      </c>
      <c r="L133" s="5" t="n">
        <v>0.3488944105614536</v>
      </c>
      <c r="M133" s="3" t="n">
        <v>41011.91596638655</v>
      </c>
      <c r="N133" s="5" t="n">
        <v>0.4684471698940541</v>
      </c>
      <c r="O133" s="3" t="n">
        <v>64117.64705882352</v>
      </c>
      <c r="P133" s="5" t="n">
        <v>0.6599999999999999</v>
      </c>
      <c r="Q133" s="3" t="n">
        <v>83299.99999999999</v>
      </c>
      <c r="R133" s="5" t="n">
        <v>0.7382953181272508</v>
      </c>
      <c r="S133" s="3" t="n">
        <v>88.40000000000001</v>
      </c>
      <c r="T133" s="5" t="n">
        <v>0.929541047188106</v>
      </c>
      <c r="U133" s="6">
        <f>IF(OR(K133="",E133=""),"",(K133-E133)/K133)</f>
        <v/>
      </c>
      <c r="V133" s="6">
        <f>IF(OR(M133="",E133=""),"",(M133-E133)/M133)</f>
        <v/>
      </c>
      <c r="W133" s="6">
        <f>IF(OR(O133="",E133=""),"",(O133-E133)/O133)</f>
        <v/>
      </c>
      <c r="X133" s="6">
        <f>IF(OR(Q133="",E133=""),"",(Q133-E133)/Q133)</f>
        <v/>
      </c>
      <c r="Y133" s="6">
        <f>IF(OR(S133="",E133=""),"",((S133*3500)-E133)/(S133*3500))</f>
        <v/>
      </c>
      <c r="Z133" s="8" t="inlineStr">
        <is>
          <t>Falta código de referencia (SKU) en el archivo original</t>
        </is>
      </c>
    </row>
    <row r="134">
      <c r="A134" s="2" t="inlineStr">
        <is>
          <t>ANCIENT</t>
        </is>
      </c>
      <c r="B134" s="2" t="inlineStr">
        <is>
          <t>COLLAR ROJO</t>
        </is>
      </c>
      <c r="C134" s="2" t="n"/>
      <c r="D134" s="2" t="n">
        <v>8000</v>
      </c>
      <c r="E134" s="3" t="n">
        <v>18000</v>
      </c>
      <c r="F134" s="4" t="n">
        <v>3800</v>
      </c>
      <c r="G134" s="3">
        <f>IF(OR(E134="",F134=""),"",E134+F134)</f>
        <v/>
      </c>
      <c r="H134" s="3" t="n">
        <v>25942</v>
      </c>
      <c r="I134" s="3" t="n">
        <v>64855</v>
      </c>
      <c r="J134" s="3" t="n">
        <v>69900</v>
      </c>
      <c r="K134" s="3" t="n">
        <v>33481.51260504201</v>
      </c>
      <c r="L134" s="5" t="n">
        <v>0.3488944105614536</v>
      </c>
      <c r="M134" s="3" t="n">
        <v>41011.91596638655</v>
      </c>
      <c r="N134" s="5" t="n">
        <v>0.4684471698940541</v>
      </c>
      <c r="O134" s="3" t="n">
        <v>64117.64705882352</v>
      </c>
      <c r="P134" s="5" t="n">
        <v>0.6599999999999999</v>
      </c>
      <c r="Q134" s="3" t="n">
        <v>83299.99999999999</v>
      </c>
      <c r="R134" s="5" t="n">
        <v>0.7382953181272508</v>
      </c>
      <c r="S134" s="3" t="n">
        <v>88.40000000000001</v>
      </c>
      <c r="T134" s="5" t="n">
        <v>0.929541047188106</v>
      </c>
      <c r="U134" s="6">
        <f>IF(OR(K134="",E134=""),"",(K134-E134)/K134)</f>
        <v/>
      </c>
      <c r="V134" s="6">
        <f>IF(OR(M134="",E134=""),"",(M134-E134)/M134)</f>
        <v/>
      </c>
      <c r="W134" s="6">
        <f>IF(OR(O134="",E134=""),"",(O134-E134)/O134)</f>
        <v/>
      </c>
      <c r="X134" s="6">
        <f>IF(OR(Q134="",E134=""),"",(Q134-E134)/Q134)</f>
        <v/>
      </c>
      <c r="Y134" s="6">
        <f>IF(OR(S134="",E134=""),"",((S134*3500)-E134)/(S134*3500))</f>
        <v/>
      </c>
      <c r="Z134" s="8" t="inlineStr">
        <is>
          <t>Falta código de referencia (SKU) en el archivo original</t>
        </is>
      </c>
    </row>
    <row r="135">
      <c r="A135" s="2" t="inlineStr">
        <is>
          <t>ANCIENT</t>
        </is>
      </c>
      <c r="B135" s="2" t="inlineStr">
        <is>
          <t>COLLAR ROJO</t>
        </is>
      </c>
      <c r="C135" s="2" t="n"/>
      <c r="D135" s="2" t="n">
        <v>8000</v>
      </c>
      <c r="E135" s="3" t="n">
        <v>43000</v>
      </c>
      <c r="F135" s="4" t="n">
        <v>3800</v>
      </c>
      <c r="G135" s="3">
        <f>IF(OR(E135="",F135=""),"",E135+F135)</f>
        <v/>
      </c>
      <c r="H135" s="3" t="n">
        <v>55692</v>
      </c>
      <c r="I135" s="3" t="n">
        <v>139230</v>
      </c>
      <c r="J135" s="3" t="n">
        <v>134820</v>
      </c>
      <c r="K135" s="3" t="n">
        <v>64577.64705882352</v>
      </c>
      <c r="L135" s="5" t="n">
        <v>0.2752910313166092</v>
      </c>
      <c r="M135" s="3" t="n">
        <v>79101.95294117647</v>
      </c>
      <c r="N135" s="5" t="n">
        <v>0.4083584758671832</v>
      </c>
      <c r="O135" s="3" t="n">
        <v>85090.90909090909</v>
      </c>
      <c r="P135" s="5" t="n">
        <v>0.45</v>
      </c>
      <c r="Q135" s="3" t="n">
        <v>58799.99999999999</v>
      </c>
      <c r="R135" s="5" t="n">
        <v>0.2040816326530611</v>
      </c>
      <c r="S135" s="3" t="n">
        <v>62.40000000000001</v>
      </c>
      <c r="T135" s="5" t="n">
        <v>0.7857142857142857</v>
      </c>
      <c r="U135" s="6">
        <f>IF(OR(K135="",E135=""),"",(K135-E135)/K135)</f>
        <v/>
      </c>
      <c r="V135" s="6">
        <f>IF(OR(M135="",E135=""),"",(M135-E135)/M135)</f>
        <v/>
      </c>
      <c r="W135" s="6">
        <f>IF(OR(O135="",E135=""),"",(O135-E135)/O135)</f>
        <v/>
      </c>
      <c r="X135" s="6">
        <f>IF(OR(Q135="",E135=""),"",(Q135-E135)/Q135)</f>
        <v/>
      </c>
      <c r="Y135" s="6">
        <f>IF(OR(S135="",E135=""),"",((S135*3500)-E135)/(S135*3500))</f>
        <v/>
      </c>
      <c r="Z135" s="8" t="inlineStr">
        <is>
          <t>Falta código de referencia (SKU) en el archivo original</t>
        </is>
      </c>
    </row>
    <row r="136">
      <c r="A136" s="2" t="inlineStr">
        <is>
          <t>ANCIENT</t>
        </is>
      </c>
      <c r="B136" s="2" t="inlineStr">
        <is>
          <t>COLOMBIA MESH SHIRT</t>
        </is>
      </c>
      <c r="C136" s="2" t="inlineStr">
        <is>
          <t>28CA36/COL</t>
        </is>
      </c>
      <c r="D136" s="2" t="n">
        <v>8000</v>
      </c>
      <c r="E136" s="3" t="n">
        <v>32455.55913978495</v>
      </c>
      <c r="F136" s="4" t="n">
        <v>11739.386625</v>
      </c>
      <c r="G136" s="3">
        <f>IF(OR(E136="",F136=""),"",E136+F136)</f>
        <v/>
      </c>
      <c r="H136" s="3" t="n">
        <v>52591.98546009409</v>
      </c>
      <c r="I136" s="3" t="n">
        <v>131479.9636502352</v>
      </c>
      <c r="J136" s="3" t="n">
        <v>129900</v>
      </c>
      <c r="K136" s="3" t="n">
        <v>62221.00840336135</v>
      </c>
      <c r="L136" s="5" t="n">
        <v>0.2897102297301016</v>
      </c>
      <c r="M136" s="3" t="n">
        <v>76215.27731092437</v>
      </c>
      <c r="N136" s="5" t="n">
        <v>0.4201300930194184</v>
      </c>
      <c r="O136" s="3" t="n">
        <v>98210.99058841099</v>
      </c>
      <c r="P136" s="5" t="n">
        <v>0.5499999999999999</v>
      </c>
      <c r="Q136" s="3" t="n">
        <v>95549.99999999999</v>
      </c>
      <c r="R136" s="5" t="n">
        <v>0.5374678622209842</v>
      </c>
      <c r="S136" s="3" t="n">
        <v>101.4</v>
      </c>
      <c r="T136" s="5" t="n">
        <v>0.8754721167518035</v>
      </c>
      <c r="U136" s="6">
        <f>IF(OR(K136="",E136=""),"",(K136-E136)/K136)</f>
        <v/>
      </c>
      <c r="V136" s="6">
        <f>IF(OR(M136="",E136=""),"",(M136-E136)/M136)</f>
        <v/>
      </c>
      <c r="W136" s="6">
        <f>IF(OR(O136="",E136=""),"",(O136-E136)/O136)</f>
        <v/>
      </c>
      <c r="X136" s="6">
        <f>IF(OR(Q136="",E136=""),"",(Q136-E136)/Q136)</f>
        <v/>
      </c>
      <c r="Y136" s="6">
        <f>IF(OR(S136="",E136=""),"",((S136*3500)-E136)/(S136*3500))</f>
        <v/>
      </c>
      <c r="Z136" s="7" t="n"/>
    </row>
    <row r="137">
      <c r="A137" s="2" t="inlineStr">
        <is>
          <t>LA EMPERATRIZ</t>
        </is>
      </c>
      <c r="B137" s="2" t="inlineStr">
        <is>
          <t>GALAXIA TRIANGLE TOP</t>
        </is>
      </c>
      <c r="C137" s="2" t="inlineStr">
        <is>
          <t>273135/GAXA</t>
        </is>
      </c>
      <c r="D137" s="2" t="n">
        <v>8000</v>
      </c>
      <c r="E137" s="3" t="n">
        <v>23468.75493028096</v>
      </c>
      <c r="F137" s="4" t="n">
        <v>10185.03125</v>
      </c>
      <c r="G137" s="3">
        <f>IF(OR(E137="",F137=""),"",E137+F137)</f>
        <v/>
      </c>
      <c r="H137" s="3" t="n">
        <v>40048.00555453433</v>
      </c>
      <c r="I137" s="3" t="n">
        <v>100120.0138863358</v>
      </c>
      <c r="J137" s="3" t="n">
        <v>109900</v>
      </c>
      <c r="K137" s="3" t="n">
        <v>50794.11764705883</v>
      </c>
      <c r="L137" s="5" t="n">
        <v>0.3374471742156616</v>
      </c>
      <c r="M137" s="3" t="n">
        <v>64647.05882352941</v>
      </c>
      <c r="N137" s="5" t="n">
        <v>0.4794227797408769</v>
      </c>
      <c r="O137" s="3" t="n">
        <v>98829.64</v>
      </c>
      <c r="P137" s="5" t="n">
        <v>0.6594767907655946</v>
      </c>
      <c r="Q137" s="3" t="n">
        <v>69160</v>
      </c>
      <c r="R137" s="5" t="n">
        <v>0.5133923340040347</v>
      </c>
      <c r="S137" s="3" t="n">
        <v>67.60000000000001</v>
      </c>
      <c r="T137" s="5" t="n">
        <v>0.8689902437703171</v>
      </c>
      <c r="U137" s="6">
        <f>IF(OR(K137="",E137=""),"",(K137-E137)/K137)</f>
        <v/>
      </c>
      <c r="V137" s="6">
        <f>IF(OR(M137="",E137=""),"",(M137-E137)/M137)</f>
        <v/>
      </c>
      <c r="W137" s="6">
        <f>IF(OR(O137="",E137=""),"",(O137-E137)/O137)</f>
        <v/>
      </c>
      <c r="X137" s="6">
        <f>IF(OR(Q137="",E137=""),"",(Q137-E137)/Q137)</f>
        <v/>
      </c>
      <c r="Y137" s="6">
        <f>IF(OR(S137="",E137=""),"",((S137*3500)-E137)/(S137*3500))</f>
        <v/>
      </c>
      <c r="Z137" s="7" t="n"/>
    </row>
    <row r="138">
      <c r="A138" s="2" t="inlineStr">
        <is>
          <t>LA EMPERATRIZ</t>
        </is>
      </c>
      <c r="B138" s="2" t="inlineStr">
        <is>
          <t>GALAXIA STRAP TIE SIDE BOTTOM</t>
        </is>
      </c>
      <c r="C138" s="2" t="inlineStr">
        <is>
          <t>273236/GAXA</t>
        </is>
      </c>
      <c r="D138" s="2" t="n">
        <v>8000</v>
      </c>
      <c r="E138" s="3" t="n">
        <v>30111.429105</v>
      </c>
      <c r="F138" s="4" t="n">
        <v>10185.03125</v>
      </c>
      <c r="G138" s="3">
        <f>IF(OR(E138="",F138=""),"",E138+F138)</f>
        <v/>
      </c>
      <c r="H138" s="3" t="n">
        <v>47952.78782245</v>
      </c>
      <c r="I138" s="3" t="n">
        <v>119881.969556125</v>
      </c>
      <c r="J138" s="3" t="n">
        <v>119900</v>
      </c>
      <c r="K138" s="3" t="n">
        <v>55415.96638655462</v>
      </c>
      <c r="L138" s="5" t="n">
        <v>0.2728366392834938</v>
      </c>
      <c r="M138" s="3" t="n">
        <v>70529.41176470587</v>
      </c>
      <c r="N138" s="5" t="n">
        <v>0.4286573594370308</v>
      </c>
      <c r="O138" s="3" t="n">
        <v>98829.64</v>
      </c>
      <c r="P138" s="5" t="n">
        <v>0.5922634105011412</v>
      </c>
      <c r="Q138" s="3" t="n">
        <v>69160</v>
      </c>
      <c r="R138" s="5" t="n">
        <v>0.4173444136061307</v>
      </c>
      <c r="S138" s="3" t="n">
        <v>67.60000000000001</v>
      </c>
      <c r="T138" s="5" t="n">
        <v>0.8431311882785736</v>
      </c>
      <c r="U138" s="6">
        <f>IF(OR(K138="",E138=""),"",(K138-E138)/K138)</f>
        <v/>
      </c>
      <c r="V138" s="6">
        <f>IF(OR(M138="",E138=""),"",(M138-E138)/M138)</f>
        <v/>
      </c>
      <c r="W138" s="6">
        <f>IF(OR(O138="",E138=""),"",(O138-E138)/O138)</f>
        <v/>
      </c>
      <c r="X138" s="6">
        <f>IF(OR(Q138="",E138=""),"",(Q138-E138)/Q138)</f>
        <v/>
      </c>
      <c r="Y138" s="6">
        <f>IF(OR(S138="",E138=""),"",((S138*3500)-E138)/(S138*3500))</f>
        <v/>
      </c>
      <c r="Z138" s="7" t="n"/>
    </row>
    <row r="139">
      <c r="A139" s="2" t="inlineStr">
        <is>
          <t>LA EMPERATRIZ</t>
        </is>
      </c>
      <c r="B139" s="2" t="inlineStr">
        <is>
          <t>GALAXIA UNDERWIRE BRALETTE TOP</t>
        </is>
      </c>
      <c r="C139" s="2" t="inlineStr">
        <is>
          <t>273149/GAXA</t>
        </is>
      </c>
      <c r="D139" s="2" t="n">
        <v>8000</v>
      </c>
      <c r="E139" s="3" t="n">
        <v>36308.72871428572</v>
      </c>
      <c r="F139" s="4" t="n">
        <v>10185.03125</v>
      </c>
      <c r="G139" s="3">
        <f>IF(OR(E139="",F139=""),"",E139+F139)</f>
        <v/>
      </c>
      <c r="H139" s="3" t="n">
        <v>55327.5743575</v>
      </c>
      <c r="I139" s="3" t="n">
        <v>138318.93589375</v>
      </c>
      <c r="J139" s="3" t="n">
        <v>139900</v>
      </c>
      <c r="K139" s="3" t="n">
        <v>64659.66386554623</v>
      </c>
      <c r="L139" s="5" t="n">
        <v>0.2809464636103711</v>
      </c>
      <c r="M139" s="3" t="n">
        <v>82294.11764705883</v>
      </c>
      <c r="N139" s="5" t="n">
        <v>0.4350293642652915</v>
      </c>
      <c r="O139" s="3" t="n">
        <v>121636.48</v>
      </c>
      <c r="P139" s="5" t="n">
        <v>0.6177646708924354</v>
      </c>
      <c r="Q139" s="3" t="n">
        <v>85120</v>
      </c>
      <c r="R139" s="5" t="n">
        <v>0.45378571470529</v>
      </c>
      <c r="S139" s="3" t="n">
        <v>83.2</v>
      </c>
      <c r="T139" s="5" t="n">
        <v>0.8529423078052704</v>
      </c>
      <c r="U139" s="6">
        <f>IF(OR(K139="",E139=""),"",(K139-E139)/K139)</f>
        <v/>
      </c>
      <c r="V139" s="6">
        <f>IF(OR(M139="",E139=""),"",(M139-E139)/M139)</f>
        <v/>
      </c>
      <c r="W139" s="6">
        <f>IF(OR(O139="",E139=""),"",(O139-E139)/O139)</f>
        <v/>
      </c>
      <c r="X139" s="6">
        <f>IF(OR(Q139="",E139=""),"",(Q139-E139)/Q139)</f>
        <v/>
      </c>
      <c r="Y139" s="6">
        <f>IF(OR(S139="",E139=""),"",((S139*3500)-E139)/(S139*3500))</f>
        <v/>
      </c>
      <c r="Z139" s="7" t="n"/>
    </row>
    <row r="140">
      <c r="A140" s="2" t="inlineStr">
        <is>
          <t>LA EMPERATRIZ</t>
        </is>
      </c>
      <c r="B140" s="2" t="inlineStr">
        <is>
          <t>GALAXIA HIGH WAIST BOTTOM</t>
        </is>
      </c>
      <c r="C140" s="2" t="inlineStr">
        <is>
          <t>273223/GAXA</t>
        </is>
      </c>
      <c r="D140" s="2" t="n">
        <v>8000</v>
      </c>
      <c r="E140" s="3" t="n">
        <v>23991.995</v>
      </c>
      <c r="F140" s="4" t="n">
        <v>10185.03125</v>
      </c>
      <c r="G140" s="3">
        <f>IF(OR(E140="",F140=""),"",E140+F140)</f>
        <v/>
      </c>
      <c r="H140" s="3" t="n">
        <v>40670.66123749999</v>
      </c>
      <c r="I140" s="3" t="n">
        <v>101676.65309375</v>
      </c>
      <c r="J140" s="3" t="n">
        <v>109900</v>
      </c>
      <c r="K140" s="3" t="n">
        <v>50794.11764705883</v>
      </c>
      <c r="L140" s="5" t="n">
        <v>0.3271459800231616</v>
      </c>
      <c r="M140" s="3" t="n">
        <v>64647.05882352941</v>
      </c>
      <c r="N140" s="5" t="n">
        <v>0.4713289843039127</v>
      </c>
      <c r="O140" s="3" t="n">
        <v>98829.64</v>
      </c>
      <c r="P140" s="5" t="n">
        <v>0.6541824269520764</v>
      </c>
      <c r="Q140" s="3" t="n">
        <v>69160</v>
      </c>
      <c r="R140" s="5" t="n">
        <v>0.5058266881145171</v>
      </c>
      <c r="S140" s="3" t="n">
        <v>67.60000000000001</v>
      </c>
      <c r="T140" s="5" t="n">
        <v>0.8669533391077546</v>
      </c>
      <c r="U140" s="6">
        <f>IF(OR(K140="",E140=""),"",(K140-E140)/K140)</f>
        <v/>
      </c>
      <c r="V140" s="6">
        <f>IF(OR(M140="",E140=""),"",(M140-E140)/M140)</f>
        <v/>
      </c>
      <c r="W140" s="6">
        <f>IF(OR(O140="",E140=""),"",(O140-E140)/O140)</f>
        <v/>
      </c>
      <c r="X140" s="6">
        <f>IF(OR(Q140="",E140=""),"",(Q140-E140)/Q140)</f>
        <v/>
      </c>
      <c r="Y140" s="6">
        <f>IF(OR(S140="",E140=""),"",((S140*3500)-E140)/(S140*3500))</f>
        <v/>
      </c>
      <c r="Z140" s="7" t="n"/>
    </row>
    <row r="141">
      <c r="A141" s="2" t="inlineStr">
        <is>
          <t>LA EMPERATRIZ</t>
        </is>
      </c>
      <c r="B141" s="2" t="inlineStr">
        <is>
          <t>GALAXIA HALTER STRAP ONE PIECE</t>
        </is>
      </c>
      <c r="C141" s="2" t="inlineStr">
        <is>
          <t>273372/GAXA</t>
        </is>
      </c>
      <c r="D141" s="2" t="n">
        <v>8000</v>
      </c>
      <c r="E141" s="3" t="n">
        <v>47702.31</v>
      </c>
      <c r="F141" s="4" t="n">
        <v>10185.03125</v>
      </c>
      <c r="G141" s="3">
        <f>IF(OR(E141="",F141=""),"",E141+F141)</f>
        <v/>
      </c>
      <c r="H141" s="3" t="n">
        <v>68885.9360875</v>
      </c>
      <c r="I141" s="3" t="n">
        <v>172214.84021875</v>
      </c>
      <c r="J141" s="3" t="n">
        <v>199900</v>
      </c>
      <c r="K141" s="3" t="n">
        <v>92390.75630252103</v>
      </c>
      <c r="L141" s="5" t="n">
        <v>0.3734509428577927</v>
      </c>
      <c r="M141" s="3" t="n">
        <v>117588.2352941176</v>
      </c>
      <c r="N141" s="5" t="n">
        <v>0.5077114551025512</v>
      </c>
      <c r="O141" s="3" t="n">
        <v>209062.7</v>
      </c>
      <c r="P141" s="5" t="n">
        <v>0.7231101423161569</v>
      </c>
      <c r="Q141" s="3" t="n">
        <v>146300</v>
      </c>
      <c r="R141" s="5" t="n">
        <v>0.6043243933697882</v>
      </c>
      <c r="S141" s="3" t="n">
        <v>143</v>
      </c>
      <c r="T141" s="5" t="n">
        <v>0.8934719520610968</v>
      </c>
      <c r="U141" s="6">
        <f>IF(OR(K141="",E141=""),"",(K141-E141)/K141)</f>
        <v/>
      </c>
      <c r="V141" s="6">
        <f>IF(OR(M141="",E141=""),"",(M141-E141)/M141)</f>
        <v/>
      </c>
      <c r="W141" s="6">
        <f>IF(OR(O141="",E141=""),"",(O141-E141)/O141)</f>
        <v/>
      </c>
      <c r="X141" s="6">
        <f>IF(OR(Q141="",E141=""),"",(Q141-E141)/Q141)</f>
        <v/>
      </c>
      <c r="Y141" s="6">
        <f>IF(OR(S141="",E141=""),"",((S141*3500)-E141)/(S141*3500))</f>
        <v/>
      </c>
      <c r="Z141" s="7" t="n"/>
    </row>
    <row r="142">
      <c r="A142" s="2" t="inlineStr">
        <is>
          <t>LA EMPERATRIZ</t>
        </is>
      </c>
      <c r="B142" s="2" t="inlineStr">
        <is>
          <t>GALAXIA STRAIGHT ONE PIECE</t>
        </is>
      </c>
      <c r="C142" s="2" t="inlineStr">
        <is>
          <t>273370/GAXA</t>
        </is>
      </c>
      <c r="D142" s="2" t="n">
        <v>8000</v>
      </c>
      <c r="E142" s="3" t="n">
        <v>41826.0998</v>
      </c>
      <c r="F142" s="4" t="n">
        <v>10185.03125</v>
      </c>
      <c r="G142" s="3">
        <f>IF(OR(E142="",F142=""),"",E142+F142)</f>
        <v/>
      </c>
      <c r="H142" s="3" t="n">
        <v>61893.2459495</v>
      </c>
      <c r="I142" s="3" t="n">
        <v>154733.11487375</v>
      </c>
      <c r="J142" s="3" t="n">
        <v>189900</v>
      </c>
      <c r="K142" s="3" t="n">
        <v>87768.90756302522</v>
      </c>
      <c r="L142" s="5" t="n">
        <v>0.4074082440566806</v>
      </c>
      <c r="M142" s="3" t="n">
        <v>111705.8823529412</v>
      </c>
      <c r="N142" s="5" t="n">
        <v>0.5343921917588204</v>
      </c>
      <c r="O142" s="3" t="n">
        <v>190057</v>
      </c>
      <c r="P142" s="5" t="n">
        <v>0.7263393032090373</v>
      </c>
      <c r="Q142" s="3" t="n">
        <v>133000</v>
      </c>
      <c r="R142" s="5" t="n">
        <v>0.6089388642857143</v>
      </c>
      <c r="S142" s="3" t="n">
        <v>130</v>
      </c>
      <c r="T142" s="5" t="n">
        <v>0.8947143096153846</v>
      </c>
      <c r="U142" s="6">
        <f>IF(OR(K142="",E142=""),"",(K142-E142)/K142)</f>
        <v/>
      </c>
      <c r="V142" s="6">
        <f>IF(OR(M142="",E142=""),"",(M142-E142)/M142)</f>
        <v/>
      </c>
      <c r="W142" s="6">
        <f>IF(OR(O142="",E142=""),"",(O142-E142)/O142)</f>
        <v/>
      </c>
      <c r="X142" s="6">
        <f>IF(OR(Q142="",E142=""),"",(Q142-E142)/Q142)</f>
        <v/>
      </c>
      <c r="Y142" s="6">
        <f>IF(OR(S142="",E142=""),"",((S142*3500)-E142)/(S142*3500))</f>
        <v/>
      </c>
      <c r="Z142" s="7" t="n"/>
    </row>
    <row r="143">
      <c r="A143" s="2" t="inlineStr">
        <is>
          <t>LA EMPERATRIZ</t>
        </is>
      </c>
      <c r="B143" s="2" t="inlineStr">
        <is>
          <t>GALAXIA PAREO</t>
        </is>
      </c>
      <c r="C143" s="2" t="inlineStr">
        <is>
          <t>27RE22/GAXA</t>
        </is>
      </c>
      <c r="D143" s="2" t="n">
        <v>8000</v>
      </c>
      <c r="E143" s="3" t="n">
        <v>22789.02857142857</v>
      </c>
      <c r="F143" s="4" t="n">
        <v>10185.03125</v>
      </c>
      <c r="G143" s="3">
        <f>IF(OR(E143="",F143=""),"",E143+F143)</f>
        <v/>
      </c>
      <c r="H143" s="3" t="n">
        <v>39239.1311875</v>
      </c>
      <c r="I143" s="3" t="n">
        <v>98097.82796874999</v>
      </c>
      <c r="J143" s="3" t="n">
        <v>139900</v>
      </c>
      <c r="K143" s="3" t="n">
        <v>64659.66386554623</v>
      </c>
      <c r="L143" s="5" t="n">
        <v>0.4900366341217754</v>
      </c>
      <c r="M143" s="3" t="n">
        <v>82294.11764705883</v>
      </c>
      <c r="N143" s="5" t="n">
        <v>0.5993144982385378</v>
      </c>
      <c r="O143" s="3" t="n">
        <v>136841.04</v>
      </c>
      <c r="P143" s="5" t="n">
        <v>0.7590338408606908</v>
      </c>
      <c r="Q143" s="3" t="n">
        <v>95760</v>
      </c>
      <c r="R143" s="5" t="n">
        <v>0.6556593585899272</v>
      </c>
      <c r="S143" s="3" t="n">
        <v>93.60000000000001</v>
      </c>
      <c r="T143" s="5" t="n">
        <v>0.9072929042357497</v>
      </c>
      <c r="U143" s="6">
        <f>IF(OR(K143="",E143=""),"",(K143-E143)/K143)</f>
        <v/>
      </c>
      <c r="V143" s="6">
        <f>IF(OR(M143="",E143=""),"",(M143-E143)/M143)</f>
        <v/>
      </c>
      <c r="W143" s="6">
        <f>IF(OR(O143="",E143=""),"",(O143-E143)/O143)</f>
        <v/>
      </c>
      <c r="X143" s="6">
        <f>IF(OR(Q143="",E143=""),"",(Q143-E143)/Q143)</f>
        <v/>
      </c>
      <c r="Y143" s="6">
        <f>IF(OR(S143="",E143=""),"",((S143*3500)-E143)/(S143*3500))</f>
        <v/>
      </c>
      <c r="Z143" s="7" t="n"/>
    </row>
    <row r="144">
      <c r="A144" s="2" t="inlineStr">
        <is>
          <t>LA EMPERATRIZ</t>
        </is>
      </c>
      <c r="B144" s="2" t="inlineStr">
        <is>
          <t>GALAXIA TOWEL</t>
        </is>
      </c>
      <c r="C144" s="2" t="inlineStr">
        <is>
          <t>27TO27/GAXA</t>
        </is>
      </c>
      <c r="D144" s="2" t="n">
        <v>8000</v>
      </c>
      <c r="E144" s="3" t="n">
        <v>30842</v>
      </c>
      <c r="F144" s="4" t="n">
        <v>10185.03125</v>
      </c>
      <c r="G144" s="3">
        <f>IF(OR(E144="",F144=""),"",E144+F144)</f>
        <v/>
      </c>
      <c r="H144" s="3" t="n">
        <v>48822.1671875</v>
      </c>
      <c r="I144" s="3" t="n">
        <v>122055.41796875</v>
      </c>
      <c r="J144" s="3" t="n">
        <v>89900</v>
      </c>
      <c r="K144" s="3" t="n">
        <v>41550.42016806723</v>
      </c>
      <c r="L144" s="5" t="n">
        <v>0.01259647714632437</v>
      </c>
      <c r="M144" s="3" t="n">
        <v>52882.35294117647</v>
      </c>
      <c r="N144" s="5" t="n">
        <v>0.2241829463292547</v>
      </c>
      <c r="O144" s="3" t="n">
        <v>106431.92</v>
      </c>
      <c r="P144" s="5" t="n">
        <v>0.6145232440606163</v>
      </c>
      <c r="Q144" s="3" t="n">
        <v>74479.99999999999</v>
      </c>
      <c r="R144" s="5" t="n">
        <v>0.4491537157626208</v>
      </c>
      <c r="S144" s="3" t="n">
        <v>72.8</v>
      </c>
      <c r="T144" s="5" t="n">
        <v>0.8516952311668594</v>
      </c>
      <c r="U144" s="6">
        <f>IF(OR(K144="",E144=""),"",(K144-E144)/K144)</f>
        <v/>
      </c>
      <c r="V144" s="6">
        <f>IF(OR(M144="",E144=""),"",(M144-E144)/M144)</f>
        <v/>
      </c>
      <c r="W144" s="6">
        <f>IF(OR(O144="",E144=""),"",(O144-E144)/O144)</f>
        <v/>
      </c>
      <c r="X144" s="6">
        <f>IF(OR(Q144="",E144=""),"",(Q144-E144)/Q144)</f>
        <v/>
      </c>
      <c r="Y144" s="6">
        <f>IF(OR(S144="",E144=""),"",((S144*3500)-E144)/(S144*3500))</f>
        <v/>
      </c>
      <c r="Z144" s="7" t="n"/>
    </row>
    <row r="145">
      <c r="A145" s="2" t="inlineStr">
        <is>
          <t>LA EMPERATRIZ</t>
        </is>
      </c>
      <c r="B145" s="2" t="inlineStr">
        <is>
          <t>GALAXIA RUCHED MESH MAXI SKIRT</t>
        </is>
      </c>
      <c r="C145" s="2" t="inlineStr">
        <is>
          <t>27FA28/GAXA</t>
        </is>
      </c>
      <c r="D145" s="2" t="n">
        <v>8000</v>
      </c>
      <c r="E145" s="3" t="n">
        <v>30325</v>
      </c>
      <c r="F145" s="4" t="n">
        <v>10185.03125</v>
      </c>
      <c r="G145" s="3">
        <f>IF(OR(E145="",F145=""),"",E145+F145)</f>
        <v/>
      </c>
      <c r="H145" s="3" t="n">
        <v>48206.9371875</v>
      </c>
      <c r="I145" s="3" t="n">
        <v>120517.34296875</v>
      </c>
      <c r="J145" s="3" t="n">
        <v>129900</v>
      </c>
      <c r="K145" s="3" t="n">
        <v>60037.81512605043</v>
      </c>
      <c r="L145" s="5" t="n">
        <v>0.3252580700188958</v>
      </c>
      <c r="M145" s="3" t="n">
        <v>76411.76470588235</v>
      </c>
      <c r="N145" s="5" t="n">
        <v>0.469845626443418</v>
      </c>
      <c r="O145" s="3" t="n">
        <v>144443.32</v>
      </c>
      <c r="P145" s="5" t="n">
        <v>0.7195437542559946</v>
      </c>
      <c r="Q145" s="3" t="n">
        <v>101080</v>
      </c>
      <c r="R145" s="5" t="n">
        <v>0.5992280248318164</v>
      </c>
      <c r="S145" s="3" t="n">
        <v>98.8</v>
      </c>
      <c r="T145" s="5" t="n">
        <v>0.8920998528393351</v>
      </c>
      <c r="U145" s="6">
        <f>IF(OR(K145="",E145=""),"",(K145-E145)/K145)</f>
        <v/>
      </c>
      <c r="V145" s="6">
        <f>IF(OR(M145="",E145=""),"",(M145-E145)/M145)</f>
        <v/>
      </c>
      <c r="W145" s="6">
        <f>IF(OR(O145="",E145=""),"",(O145-E145)/O145)</f>
        <v/>
      </c>
      <c r="X145" s="6">
        <f>IF(OR(Q145="",E145=""),"",(Q145-E145)/Q145)</f>
        <v/>
      </c>
      <c r="Y145" s="6">
        <f>IF(OR(S145="",E145=""),"",((S145*3500)-E145)/(S145*3500))</f>
        <v/>
      </c>
      <c r="Z145" s="7" t="n"/>
    </row>
    <row r="146">
      <c r="A146" s="2" t="inlineStr">
        <is>
          <t>LA EMPERATRIZ</t>
        </is>
      </c>
      <c r="B146" s="2" t="inlineStr">
        <is>
          <t>GALAXIA CARGO PANTS</t>
        </is>
      </c>
      <c r="C146" s="2" t="inlineStr">
        <is>
          <t>27PA25/GAXA</t>
        </is>
      </c>
      <c r="D146" s="2" t="n">
        <v>8000</v>
      </c>
      <c r="E146" s="3" t="n">
        <v>64756.51568253968</v>
      </c>
      <c r="F146" s="4" t="n">
        <v>10185.03125</v>
      </c>
      <c r="G146" s="3">
        <f>IF(OR(E146="",F146=""),"",E146+F146)</f>
        <v/>
      </c>
      <c r="H146" s="3" t="n">
        <v>89180.44084972222</v>
      </c>
      <c r="I146" s="3" t="n">
        <v>222951.1021243055</v>
      </c>
      <c r="J146" s="3" t="n">
        <v>189900</v>
      </c>
      <c r="K146" s="3" t="n">
        <v>87768.90756302522</v>
      </c>
      <c r="L146" s="5" t="n">
        <v>0.1461492570278882</v>
      </c>
      <c r="M146" s="3" t="n">
        <v>111705.8823529412</v>
      </c>
      <c r="N146" s="5" t="n">
        <v>0.3291172733790549</v>
      </c>
      <c r="O146" s="3" t="n">
        <v>212863.84</v>
      </c>
      <c r="P146" s="5" t="n">
        <v>0.6479366954362015</v>
      </c>
      <c r="Q146" s="3" t="n">
        <v>148960</v>
      </c>
      <c r="R146" s="5" t="n">
        <v>0.4969015377783318</v>
      </c>
      <c r="S146" s="3" t="n">
        <v>145.6</v>
      </c>
      <c r="T146" s="5" t="n">
        <v>0.8645504140172432</v>
      </c>
      <c r="U146" s="6">
        <f>IF(OR(K146="",E146=""),"",(K146-E146)/K146)</f>
        <v/>
      </c>
      <c r="V146" s="6">
        <f>IF(OR(M146="",E146=""),"",(M146-E146)/M146)</f>
        <v/>
      </c>
      <c r="W146" s="6">
        <f>IF(OR(O146="",E146=""),"",(O146-E146)/O146)</f>
        <v/>
      </c>
      <c r="X146" s="6">
        <f>IF(OR(Q146="",E146=""),"",(Q146-E146)/Q146)</f>
        <v/>
      </c>
      <c r="Y146" s="6">
        <f>IF(OR(S146="",E146=""),"",((S146*3500)-E146)/(S146*3500))</f>
        <v/>
      </c>
      <c r="Z146" s="7" t="n"/>
    </row>
    <row r="147">
      <c r="A147" s="2" t="inlineStr">
        <is>
          <t>LA EMPERATRIZ</t>
        </is>
      </c>
      <c r="B147" s="2" t="inlineStr">
        <is>
          <t>GALAXIA T-SHIRT</t>
        </is>
      </c>
      <c r="C147" s="2" t="inlineStr">
        <is>
          <t>27TSH20/GAXA</t>
        </is>
      </c>
      <c r="D147" s="2" t="n">
        <v>8000</v>
      </c>
      <c r="E147" s="3" t="n">
        <v>35411.6</v>
      </c>
      <c r="F147" s="4" t="n">
        <v>10185.03125</v>
      </c>
      <c r="G147" s="3">
        <f>IF(OR(E147="",F147=""),"",E147+F147)</f>
        <v/>
      </c>
      <c r="H147" s="3" t="n">
        <v>54259.9911875</v>
      </c>
      <c r="I147" s="3" t="n">
        <v>135649.97796875</v>
      </c>
      <c r="J147" s="3" t="n">
        <v>129900</v>
      </c>
      <c r="K147" s="3" t="n">
        <v>60037.81512605043</v>
      </c>
      <c r="L147" s="5" t="n">
        <v>0.2405348003709148</v>
      </c>
      <c r="M147" s="3" t="n">
        <v>76411.76470588235</v>
      </c>
      <c r="N147" s="5" t="n">
        <v>0.4032773431485758</v>
      </c>
      <c r="O147" s="3" t="n">
        <v>129238.76</v>
      </c>
      <c r="P147" s="5" t="n">
        <v>0.6471907402237532</v>
      </c>
      <c r="Q147" s="3" t="n">
        <v>90439.99999999999</v>
      </c>
      <c r="R147" s="5" t="n">
        <v>0.4958355677797434</v>
      </c>
      <c r="S147" s="3" t="n">
        <v>88.40000000000001</v>
      </c>
      <c r="T147" s="5" t="n">
        <v>0.8642634220945464</v>
      </c>
      <c r="U147" s="6">
        <f>IF(OR(K147="",E147=""),"",(K147-E147)/K147)</f>
        <v/>
      </c>
      <c r="V147" s="6">
        <f>IF(OR(M147="",E147=""),"",(M147-E147)/M147)</f>
        <v/>
      </c>
      <c r="W147" s="6">
        <f>IF(OR(O147="",E147=""),"",(O147-E147)/O147)</f>
        <v/>
      </c>
      <c r="X147" s="6">
        <f>IF(OR(Q147="",E147=""),"",(Q147-E147)/Q147)</f>
        <v/>
      </c>
      <c r="Y147" s="6">
        <f>IF(OR(S147="",E147=""),"",((S147*3500)-E147)/(S147*3500))</f>
        <v/>
      </c>
      <c r="Z147" s="7" t="n"/>
    </row>
    <row r="148">
      <c r="A148" s="2" t="inlineStr">
        <is>
          <t>LA EMPERATRIZ</t>
        </is>
      </c>
      <c r="B148" s="2" t="inlineStr">
        <is>
          <t>GALAXIA MESH LONG DRESS</t>
        </is>
      </c>
      <c r="C148" s="2" t="inlineStr">
        <is>
          <t>27VE36/GAXA</t>
        </is>
      </c>
      <c r="D148" s="2" t="n">
        <v>8000</v>
      </c>
      <c r="E148" s="3" t="n">
        <v>49635.625</v>
      </c>
      <c r="F148" s="4" t="n">
        <v>10185.03125</v>
      </c>
      <c r="G148" s="3">
        <f>IF(OR(E148="",F148=""),"",E148+F148)</f>
        <v/>
      </c>
      <c r="H148" s="3" t="n">
        <v>71186.5809375</v>
      </c>
      <c r="I148" s="3" t="n">
        <v>177966.45234375</v>
      </c>
      <c r="J148" s="3" t="n">
        <v>169900</v>
      </c>
      <c r="K148" s="3" t="n">
        <v>78525.21008403362</v>
      </c>
      <c r="L148" s="5" t="n">
        <v>0.2381980744020548</v>
      </c>
      <c r="M148" s="3" t="n">
        <v>99941.17647058824</v>
      </c>
      <c r="N148" s="5" t="n">
        <v>0.401441344173043</v>
      </c>
      <c r="O148" s="3" t="n">
        <v>182454.72</v>
      </c>
      <c r="P148" s="5" t="n">
        <v>0.6721342355517028</v>
      </c>
      <c r="Q148" s="3" t="n">
        <v>127680</v>
      </c>
      <c r="R148" s="5" t="n">
        <v>0.5314798226033834</v>
      </c>
      <c r="S148" s="3" t="n">
        <v>124.8</v>
      </c>
      <c r="T148" s="5" t="n">
        <v>0.8738599522393725</v>
      </c>
      <c r="U148" s="6">
        <f>IF(OR(K148="",E148=""),"",(K148-E148)/K148)</f>
        <v/>
      </c>
      <c r="V148" s="6">
        <f>IF(OR(M148="",E148=""),"",(M148-E148)/M148)</f>
        <v/>
      </c>
      <c r="W148" s="6">
        <f>IF(OR(O148="",E148=""),"",(O148-E148)/O148)</f>
        <v/>
      </c>
      <c r="X148" s="6">
        <f>IF(OR(Q148="",E148=""),"",(Q148-E148)/Q148)</f>
        <v/>
      </c>
      <c r="Y148" s="6">
        <f>IF(OR(S148="",E148=""),"",((S148*3500)-E148)/(S148*3500))</f>
        <v/>
      </c>
      <c r="Z148" s="7" t="n"/>
    </row>
    <row r="149">
      <c r="A149" s="2" t="inlineStr">
        <is>
          <t>LA EMPERATRIZ</t>
        </is>
      </c>
      <c r="B149" s="2" t="inlineStr">
        <is>
          <t>GALAXIA MESH DRESS</t>
        </is>
      </c>
      <c r="C149" s="2" t="inlineStr">
        <is>
          <t>27VE32/GAXA</t>
        </is>
      </c>
      <c r="D149" s="2" t="n">
        <v>8000</v>
      </c>
      <c r="E149" s="3" t="n">
        <v>51220.07</v>
      </c>
      <c r="F149" s="4" t="n">
        <v>10185.03125</v>
      </c>
      <c r="G149" s="3">
        <f>IF(OR(E149="",F149=""),"",E149+F149)</f>
        <v/>
      </c>
      <c r="H149" s="3" t="n">
        <v>73072.07048749999</v>
      </c>
      <c r="I149" s="3" t="n">
        <v>182680.17621875</v>
      </c>
      <c r="J149" s="3" t="n">
        <v>169900</v>
      </c>
      <c r="K149" s="3" t="n">
        <v>78525.21008403362</v>
      </c>
      <c r="L149" s="5" t="n">
        <v>0.2180205416287657</v>
      </c>
      <c r="M149" s="3" t="n">
        <v>99941.17647058824</v>
      </c>
      <c r="N149" s="5" t="n">
        <v>0.3855875684226016</v>
      </c>
      <c r="O149" s="3" t="n">
        <v>182454.72</v>
      </c>
      <c r="P149" s="5" t="n">
        <v>0.6634501905459063</v>
      </c>
      <c r="Q149" s="3" t="n">
        <v>127680</v>
      </c>
      <c r="R149" s="5" t="n">
        <v>0.5190703222901003</v>
      </c>
      <c r="S149" s="3" t="n">
        <v>124.8</v>
      </c>
      <c r="T149" s="5" t="n">
        <v>0.8705189329242577</v>
      </c>
      <c r="U149" s="6">
        <f>IF(OR(K149="",E149=""),"",(K149-E149)/K149)</f>
        <v/>
      </c>
      <c r="V149" s="6">
        <f>IF(OR(M149="",E149=""),"",(M149-E149)/M149)</f>
        <v/>
      </c>
      <c r="W149" s="6">
        <f>IF(OR(O149="",E149=""),"",(O149-E149)/O149)</f>
        <v/>
      </c>
      <c r="X149" s="6">
        <f>IF(OR(Q149="",E149=""),"",(Q149-E149)/Q149)</f>
        <v/>
      </c>
      <c r="Y149" s="6">
        <f>IF(OR(S149="",E149=""),"",((S149*3500)-E149)/(S149*3500))</f>
        <v/>
      </c>
      <c r="Z149" s="7" t="n"/>
    </row>
    <row r="150">
      <c r="A150" s="2" t="inlineStr">
        <is>
          <t>LA EMPERATRIZ</t>
        </is>
      </c>
      <c r="B150" s="2" t="inlineStr">
        <is>
          <t>GALAXIA MESH SHIRT</t>
        </is>
      </c>
      <c r="C150" s="2" t="inlineStr">
        <is>
          <t>27CA36/GAXA</t>
        </is>
      </c>
      <c r="D150" s="2" t="n">
        <v>8000</v>
      </c>
      <c r="E150" s="3" t="n">
        <v>30229.34408602151</v>
      </c>
      <c r="F150" s="4" t="n">
        <v>10185.03125</v>
      </c>
      <c r="G150" s="3">
        <f>IF(OR(E150="",F150=""),"",E150+F150)</f>
        <v/>
      </c>
      <c r="H150" s="3" t="n">
        <v>48093.10664986559</v>
      </c>
      <c r="I150" s="3" t="n">
        <v>120232.766624664</v>
      </c>
      <c r="J150" s="3" t="n">
        <v>129900</v>
      </c>
      <c r="K150" s="3" t="n">
        <v>60037.81512605043</v>
      </c>
      <c r="L150" s="5" t="n">
        <v>0.3268513310957298</v>
      </c>
      <c r="M150" s="3" t="n">
        <v>76411.76470588235</v>
      </c>
      <c r="N150" s="5" t="n">
        <v>0.4710974744323591</v>
      </c>
      <c r="O150" s="3" t="n">
        <v>144443.32</v>
      </c>
      <c r="P150" s="5" t="n">
        <v>0.7202059926618862</v>
      </c>
      <c r="Q150" s="3" t="n">
        <v>101080</v>
      </c>
      <c r="R150" s="5" t="n">
        <v>0.6001743635138355</v>
      </c>
      <c r="S150" s="3" t="n">
        <v>98.8</v>
      </c>
      <c r="T150" s="5" t="n">
        <v>0.8923546363306479</v>
      </c>
      <c r="U150" s="6">
        <f>IF(OR(K150="",E150=""),"",(K150-E150)/K150)</f>
        <v/>
      </c>
      <c r="V150" s="6">
        <f>IF(OR(M150="",E150=""),"",(M150-E150)/M150)</f>
        <v/>
      </c>
      <c r="W150" s="6">
        <f>IF(OR(O150="",E150=""),"",(O150-E150)/O150)</f>
        <v/>
      </c>
      <c r="X150" s="6">
        <f>IF(OR(Q150="",E150=""),"",(Q150-E150)/Q150)</f>
        <v/>
      </c>
      <c r="Y150" s="6">
        <f>IF(OR(S150="",E150=""),"",((S150*3500)-E150)/(S150*3500))</f>
        <v/>
      </c>
      <c r="Z150" s="7" t="n"/>
    </row>
    <row r="151">
      <c r="A151" s="2" t="inlineStr">
        <is>
          <t>LA EMPERATRIZ</t>
        </is>
      </c>
      <c r="B151" s="2" t="inlineStr">
        <is>
          <t>GALAXIA MESH LONG SHIRT</t>
        </is>
      </c>
      <c r="C151" s="2" t="inlineStr">
        <is>
          <t>27CA32/GAXA</t>
        </is>
      </c>
      <c r="D151" s="2" t="n">
        <v>8000</v>
      </c>
      <c r="E151" s="3" t="n">
        <v>26982</v>
      </c>
      <c r="F151" s="4" t="n">
        <v>10185.03125</v>
      </c>
      <c r="G151" s="3">
        <f>IF(OR(E151="",F151=""),"",E151+F151)</f>
        <v/>
      </c>
      <c r="H151" s="3" t="n">
        <v>44228.7671875</v>
      </c>
      <c r="I151" s="3" t="n">
        <v>110571.91796875</v>
      </c>
      <c r="J151" s="3" t="n">
        <v>119900</v>
      </c>
      <c r="K151" s="3" t="n">
        <v>55415.96638655462</v>
      </c>
      <c r="L151" s="5" t="n">
        <v>0.3293082540374555</v>
      </c>
      <c r="M151" s="3" t="n">
        <v>70529.41176470587</v>
      </c>
      <c r="N151" s="5" t="n">
        <v>0.4730279138865721</v>
      </c>
      <c r="O151" s="3" t="n">
        <v>114034.2</v>
      </c>
      <c r="P151" s="5" t="n">
        <v>0.6740711887310999</v>
      </c>
      <c r="Q151" s="3" t="n">
        <v>79800</v>
      </c>
      <c r="R151" s="5" t="n">
        <v>0.5342477286967419</v>
      </c>
      <c r="S151" s="3" t="n">
        <v>78</v>
      </c>
      <c r="T151" s="5" t="n">
        <v>0.8746051577260459</v>
      </c>
      <c r="U151" s="6">
        <f>IF(OR(K151="",E151=""),"",(K151-E151)/K151)</f>
        <v/>
      </c>
      <c r="V151" s="6">
        <f>IF(OR(M151="",E151=""),"",(M151-E151)/M151)</f>
        <v/>
      </c>
      <c r="W151" s="6">
        <f>IF(OR(O151="",E151=""),"",(O151-E151)/O151)</f>
        <v/>
      </c>
      <c r="X151" s="6">
        <f>IF(OR(Q151="",E151=""),"",(Q151-E151)/Q151)</f>
        <v/>
      </c>
      <c r="Y151" s="6">
        <f>IF(OR(S151="",E151=""),"",((S151*3500)-E151)/(S151*3500))</f>
        <v/>
      </c>
      <c r="Z151" s="7" t="n"/>
    </row>
    <row r="152">
      <c r="A152" s="2" t="inlineStr">
        <is>
          <t>LA EMPERATRIZ</t>
        </is>
      </c>
      <c r="B152" s="2" t="inlineStr">
        <is>
          <t>GALAXIA SLEEP SLEEVELESS SHIRT</t>
        </is>
      </c>
      <c r="C152" s="2" t="inlineStr">
        <is>
          <t>274124/GAXA</t>
        </is>
      </c>
      <c r="D152" s="2" t="n">
        <v>8000</v>
      </c>
      <c r="E152" s="3" t="n">
        <v>18336.66</v>
      </c>
      <c r="F152" s="4" t="n">
        <v>10185.03125</v>
      </c>
      <c r="G152" s="3">
        <f>IF(OR(E152="",F152=""),"",E152+F152)</f>
        <v/>
      </c>
      <c r="H152" s="3" t="n">
        <v>33940.8125875</v>
      </c>
      <c r="I152" s="3" t="n">
        <v>84852.03146874999</v>
      </c>
      <c r="J152" s="3" t="n">
        <v>79950</v>
      </c>
      <c r="K152" s="3" t="n">
        <v>36951.68067226891</v>
      </c>
      <c r="L152" s="5" t="n">
        <v>0.2281354804138952</v>
      </c>
      <c r="M152" s="3" t="n">
        <v>47029.41176470588</v>
      </c>
      <c r="N152" s="5" t="n">
        <v>0.3935350203252032</v>
      </c>
      <c r="O152" s="3" t="n">
        <v>49414.82</v>
      </c>
      <c r="P152" s="5" t="n">
        <v>0.4228109856516729</v>
      </c>
      <c r="Q152" s="3" t="n">
        <v>34580</v>
      </c>
      <c r="R152" s="5" t="n">
        <v>0.1751968984962406</v>
      </c>
      <c r="S152" s="3" t="n">
        <v>33.8</v>
      </c>
      <c r="T152" s="5" t="n">
        <v>0.7779376265182186</v>
      </c>
      <c r="U152" s="6">
        <f>IF(OR(K152="",E152=""),"",(K152-E152)/K152)</f>
        <v/>
      </c>
      <c r="V152" s="6">
        <f>IF(OR(M152="",E152=""),"",(M152-E152)/M152)</f>
        <v/>
      </c>
      <c r="W152" s="6">
        <f>IF(OR(O152="",E152=""),"",(O152-E152)/O152)</f>
        <v/>
      </c>
      <c r="X152" s="6">
        <f>IF(OR(Q152="",E152=""),"",(Q152-E152)/Q152)</f>
        <v/>
      </c>
      <c r="Y152" s="6">
        <f>IF(OR(S152="",E152=""),"",((S152*3500)-E152)/(S152*3500))</f>
        <v/>
      </c>
      <c r="Z152" s="7" t="n"/>
    </row>
    <row r="153">
      <c r="A153" s="2" t="inlineStr">
        <is>
          <t>LA EMPERATRIZ</t>
        </is>
      </c>
      <c r="B153" s="2" t="inlineStr">
        <is>
          <t>GALAXIA SLEEP SHORT</t>
        </is>
      </c>
      <c r="C153" s="2" t="inlineStr">
        <is>
          <t>274222/GAXA</t>
        </is>
      </c>
      <c r="D153" s="2" t="n">
        <v>8000</v>
      </c>
      <c r="E153" s="3" t="n">
        <v>18737.81</v>
      </c>
      <c r="F153" s="4" t="n">
        <v>10185.03125</v>
      </c>
      <c r="G153" s="3">
        <f>IF(OR(E153="",F153=""),"",E153+F153)</f>
        <v/>
      </c>
      <c r="H153" s="3" t="n">
        <v>34418.1810875</v>
      </c>
      <c r="I153" s="3" t="n">
        <v>86045.45271874999</v>
      </c>
      <c r="J153" s="3" t="n">
        <v>99950</v>
      </c>
      <c r="K153" s="3" t="n">
        <v>46195.37815126051</v>
      </c>
      <c r="L153" s="5" t="n">
        <v>0.373901840238301</v>
      </c>
      <c r="M153" s="3" t="n">
        <v>58794.11764705882</v>
      </c>
      <c r="N153" s="5" t="n">
        <v>0.5080657316158078</v>
      </c>
      <c r="O153" s="3" t="n">
        <v>49414.82</v>
      </c>
      <c r="P153" s="5" t="n">
        <v>0.4146929757105257</v>
      </c>
      <c r="Q153" s="3" t="n">
        <v>34580</v>
      </c>
      <c r="R153" s="5" t="n">
        <v>0.1635962622903412</v>
      </c>
      <c r="S153" s="3" t="n">
        <v>33.8</v>
      </c>
      <c r="T153" s="5" t="n">
        <v>0.7748143783089381</v>
      </c>
      <c r="U153" s="6">
        <f>IF(OR(K153="",E153=""),"",(K153-E153)/K153)</f>
        <v/>
      </c>
      <c r="V153" s="6">
        <f>IF(OR(M153="",E153=""),"",(M153-E153)/M153)</f>
        <v/>
      </c>
      <c r="W153" s="6">
        <f>IF(OR(O153="",E153=""),"",(O153-E153)/O153)</f>
        <v/>
      </c>
      <c r="X153" s="6">
        <f>IF(OR(Q153="",E153=""),"",(Q153-E153)/Q153)</f>
        <v/>
      </c>
      <c r="Y153" s="6">
        <f>IF(OR(S153="",E153=""),"",((S153*3500)-E153)/(S153*3500))</f>
        <v/>
      </c>
      <c r="Z153" s="7" t="n"/>
    </row>
    <row r="154">
      <c r="A154" s="2" t="inlineStr">
        <is>
          <t>LA EMPERATRIZ</t>
        </is>
      </c>
      <c r="B154" s="2" t="inlineStr">
        <is>
          <t>GALAXIA SLEEP LONG SHIRT</t>
        </is>
      </c>
      <c r="C154" s="2" t="inlineStr">
        <is>
          <t>274121/GAXA</t>
        </is>
      </c>
      <c r="D154" s="2" t="n">
        <v>8000</v>
      </c>
      <c r="E154" s="3" t="n">
        <v>32611.31</v>
      </c>
      <c r="F154" s="4" t="n">
        <v>10185.03125</v>
      </c>
      <c r="G154" s="3">
        <f>IF(OR(E154="",F154=""),"",E154+F154)</f>
        <v/>
      </c>
      <c r="H154" s="3" t="n">
        <v>50927.6460875</v>
      </c>
      <c r="I154" s="3" t="n">
        <v>127319.11521875</v>
      </c>
      <c r="J154" s="3" t="n">
        <v>99950</v>
      </c>
      <c r="K154" s="3" t="n">
        <v>46195.37815126051</v>
      </c>
      <c r="L154" s="5" t="n">
        <v>0.07357958820319273</v>
      </c>
      <c r="M154" s="3" t="n">
        <v>58794.11764705882</v>
      </c>
      <c r="N154" s="5" t="n">
        <v>0.2720982478739369</v>
      </c>
      <c r="O154" s="3" t="n">
        <v>64619.37999999999</v>
      </c>
      <c r="P154" s="5" t="n">
        <v>0.3377166223198055</v>
      </c>
      <c r="Q154" s="3" t="n">
        <v>45219.99999999999</v>
      </c>
      <c r="R154" s="5" t="n">
        <v>0.05359705329500211</v>
      </c>
      <c r="S154" s="3" t="n">
        <v>44.2</v>
      </c>
      <c r="T154" s="5" t="n">
        <v>0.7451992066563468</v>
      </c>
      <c r="U154" s="6">
        <f>IF(OR(K154="",E154=""),"",(K154-E154)/K154)</f>
        <v/>
      </c>
      <c r="V154" s="6">
        <f>IF(OR(M154="",E154=""),"",(M154-E154)/M154)</f>
        <v/>
      </c>
      <c r="W154" s="6">
        <f>IF(OR(O154="",E154=""),"",(O154-E154)/O154)</f>
        <v/>
      </c>
      <c r="X154" s="6">
        <f>IF(OR(Q154="",E154=""),"",(Q154-E154)/Q154)</f>
        <v/>
      </c>
      <c r="Y154" s="6">
        <f>IF(OR(S154="",E154=""),"",((S154*3500)-E154)/(S154*3500))</f>
        <v/>
      </c>
      <c r="Z154" s="7" t="n"/>
    </row>
    <row r="155">
      <c r="A155" s="2" t="inlineStr">
        <is>
          <t>LA EMPERATRIZ</t>
        </is>
      </c>
      <c r="B155" s="2" t="inlineStr">
        <is>
          <t>GALAXIA SLEEP PANTS</t>
        </is>
      </c>
      <c r="C155" s="2" t="inlineStr">
        <is>
          <t>274323/GAXA</t>
        </is>
      </c>
      <c r="D155" s="2" t="n">
        <v>8000</v>
      </c>
      <c r="E155" s="3" t="n">
        <v>28786.53</v>
      </c>
      <c r="F155" s="4" t="n">
        <v>10185.03125</v>
      </c>
      <c r="G155" s="3">
        <f>IF(OR(E155="",F155=""),"",E155+F155)</f>
        <v/>
      </c>
      <c r="H155" s="3" t="n">
        <v>46376.1578875</v>
      </c>
      <c r="I155" s="3" t="n">
        <v>115940.39471875</v>
      </c>
      <c r="J155" s="3" t="n">
        <v>99950</v>
      </c>
      <c r="K155" s="3" t="n">
        <v>46195.37815126051</v>
      </c>
      <c r="L155" s="5" t="n">
        <v>0.1563753169766703</v>
      </c>
      <c r="M155" s="3" t="n">
        <v>58794.11764705882</v>
      </c>
      <c r="N155" s="5" t="n">
        <v>0.3371520347673836</v>
      </c>
      <c r="O155" s="3" t="n">
        <v>57017.1</v>
      </c>
      <c r="P155" s="5" t="n">
        <v>0.3164934510874808</v>
      </c>
      <c r="Q155" s="3" t="n">
        <v>39900</v>
      </c>
      <c r="R155" s="5" t="n">
        <v>0.02326914160401005</v>
      </c>
      <c r="S155" s="3" t="n">
        <v>39</v>
      </c>
      <c r="T155" s="5" t="n">
        <v>0.7370339996626181</v>
      </c>
      <c r="U155" s="6">
        <f>IF(OR(K155="",E155=""),"",(K155-E155)/K155)</f>
        <v/>
      </c>
      <c r="V155" s="6">
        <f>IF(OR(M155="",E155=""),"",(M155-E155)/M155)</f>
        <v/>
      </c>
      <c r="W155" s="6">
        <f>IF(OR(O155="",E155=""),"",(O155-E155)/O155)</f>
        <v/>
      </c>
      <c r="X155" s="6">
        <f>IF(OR(Q155="",E155=""),"",(Q155-E155)/Q155)</f>
        <v/>
      </c>
      <c r="Y155" s="6">
        <f>IF(OR(S155="",E155=""),"",((S155*3500)-E155)/(S155*3500))</f>
        <v/>
      </c>
      <c r="Z155" s="7" t="n"/>
    </row>
    <row r="156">
      <c r="A156" s="2" t="inlineStr">
        <is>
          <t>LA EMPERATRIZ</t>
        </is>
      </c>
      <c r="B156" s="2" t="inlineStr">
        <is>
          <t>GALAXIA SLEEP SHORT SLEEVELESS SHIRT</t>
        </is>
      </c>
      <c r="C156" s="2" t="inlineStr">
        <is>
          <t>274125/GAXA</t>
        </is>
      </c>
      <c r="D156" s="2" t="n">
        <v>8000</v>
      </c>
      <c r="E156" s="3" t="n">
        <v>21807.84375</v>
      </c>
      <c r="F156" s="4" t="n">
        <v>10185.03125</v>
      </c>
      <c r="G156" s="3">
        <f>IF(OR(E156="",F156=""),"",E156+F156)</f>
        <v/>
      </c>
      <c r="H156" s="3" t="n">
        <v>38071.52125</v>
      </c>
      <c r="I156" s="3" t="n">
        <v>95178.80312499999</v>
      </c>
      <c r="J156" s="3" t="n">
        <v>89950</v>
      </c>
      <c r="K156" s="3" t="n">
        <v>41573.52941176471</v>
      </c>
      <c r="L156" s="5" t="n">
        <v>0.2304508312698976</v>
      </c>
      <c r="M156" s="3" t="n">
        <v>52911.76470588235</v>
      </c>
      <c r="N156" s="5" t="n">
        <v>0.395354224569205</v>
      </c>
      <c r="O156" s="3" t="n">
        <v>53215.95999999999</v>
      </c>
      <c r="P156" s="5" t="n">
        <v>0.3988105260151277</v>
      </c>
      <c r="Q156" s="3" t="n">
        <v>37239.99999999999</v>
      </c>
      <c r="R156" s="5" t="n">
        <v>0.1409002416756175</v>
      </c>
      <c r="S156" s="3" t="n">
        <v>36.4</v>
      </c>
      <c r="T156" s="5" t="n">
        <v>0.7687039112203586</v>
      </c>
      <c r="U156" s="6">
        <f>IF(OR(K156="",E156=""),"",(K156-E156)/K156)</f>
        <v/>
      </c>
      <c r="V156" s="6">
        <f>IF(OR(M156="",E156=""),"",(M156-E156)/M156)</f>
        <v/>
      </c>
      <c r="W156" s="6">
        <f>IF(OR(O156="",E156=""),"",(O156-E156)/O156)</f>
        <v/>
      </c>
      <c r="X156" s="6">
        <f>IF(OR(Q156="",E156=""),"",(Q156-E156)/Q156)</f>
        <v/>
      </c>
      <c r="Y156" s="6">
        <f>IF(OR(S156="",E156=""),"",((S156*3500)-E156)/(S156*3500))</f>
        <v/>
      </c>
      <c r="Z156" s="7" t="n"/>
    </row>
    <row r="157">
      <c r="A157" s="2" t="inlineStr">
        <is>
          <t>LA EMPERATRIZ</t>
        </is>
      </c>
      <c r="B157" s="2" t="inlineStr">
        <is>
          <t>I'M CHOCOLATE TRIANGLE TOP</t>
        </is>
      </c>
      <c r="C157" s="2" t="inlineStr">
        <is>
          <t>273135/CHOLT</t>
        </is>
      </c>
      <c r="D157" s="2" t="n">
        <v>8000</v>
      </c>
      <c r="E157" s="3" t="n">
        <v>31198.75589594173</v>
      </c>
      <c r="F157" s="4" t="n">
        <v>10185.03125</v>
      </c>
      <c r="G157" s="3">
        <f>IF(OR(E157="",F157=""),"",E157+F157)</f>
        <v/>
      </c>
      <c r="H157" s="3" t="n">
        <v>49246.70670367066</v>
      </c>
      <c r="I157" s="3" t="n">
        <v>123116.7667591766</v>
      </c>
      <c r="J157" s="3" t="n">
        <v>129900</v>
      </c>
      <c r="K157" s="3" t="n">
        <v>60037.81512605043</v>
      </c>
      <c r="L157" s="5" t="n">
        <v>0.3107046440804724</v>
      </c>
      <c r="M157" s="3" t="n">
        <v>76411.76470588235</v>
      </c>
      <c r="N157" s="5" t="n">
        <v>0.4584107917775139</v>
      </c>
      <c r="O157" s="3" t="n">
        <v>114034.2</v>
      </c>
      <c r="P157" s="5" t="n">
        <v>0.637093195322616</v>
      </c>
      <c r="Q157" s="3" t="n">
        <v>79800</v>
      </c>
      <c r="R157" s="5" t="n">
        <v>0.4814061761160184</v>
      </c>
      <c r="S157" s="3" t="n">
        <v>78</v>
      </c>
      <c r="T157" s="5" t="n">
        <v>0.8603785858773896</v>
      </c>
      <c r="U157" s="6">
        <f>IF(OR(K157="",E157=""),"",(K157-E157)/K157)</f>
        <v/>
      </c>
      <c r="V157" s="6">
        <f>IF(OR(M157="",E157=""),"",(M157-E157)/M157)</f>
        <v/>
      </c>
      <c r="W157" s="6">
        <f>IF(OR(O157="",E157=""),"",(O157-E157)/O157)</f>
        <v/>
      </c>
      <c r="X157" s="6">
        <f>IF(OR(Q157="",E157=""),"",(Q157-E157)/Q157)</f>
        <v/>
      </c>
      <c r="Y157" s="6">
        <f>IF(OR(S157="",E157=""),"",((S157*3500)-E157)/(S157*3500))</f>
        <v/>
      </c>
      <c r="Z157" s="7" t="n"/>
    </row>
    <row r="158">
      <c r="A158" s="2" t="inlineStr">
        <is>
          <t>LA EMPERATRIZ</t>
        </is>
      </c>
      <c r="B158" s="2" t="inlineStr">
        <is>
          <t>I'M CHOCOLATE STRAP TIE SIDE BOTTOM</t>
        </is>
      </c>
      <c r="C158" s="2" t="inlineStr">
        <is>
          <t>273236/CHOLT</t>
        </is>
      </c>
      <c r="D158" s="2" t="n">
        <v>8000</v>
      </c>
      <c r="E158" s="3" t="n">
        <v>28402.929105</v>
      </c>
      <c r="F158" s="4" t="n">
        <v>10185.03125</v>
      </c>
      <c r="G158" s="3">
        <f>IF(OR(E158="",F158=""),"",E158+F158)</f>
        <v/>
      </c>
      <c r="H158" s="3" t="n">
        <v>45919.67282245</v>
      </c>
      <c r="I158" s="3" t="n">
        <v>114799.182056125</v>
      </c>
      <c r="J158" s="3" t="n">
        <v>119900</v>
      </c>
      <c r="K158" s="3" t="n">
        <v>55415.96638655462</v>
      </c>
      <c r="L158" s="5" t="n">
        <v>0.3036671040647509</v>
      </c>
      <c r="M158" s="3" t="n">
        <v>70529.41176470587</v>
      </c>
      <c r="N158" s="5" t="n">
        <v>0.4528812960508756</v>
      </c>
      <c r="O158" s="3" t="n">
        <v>106431.92</v>
      </c>
      <c r="P158" s="5" t="n">
        <v>0.6374399676807483</v>
      </c>
      <c r="Q158" s="3" t="n">
        <v>74479.99999999999</v>
      </c>
      <c r="R158" s="5" t="n">
        <v>0.4819017138157893</v>
      </c>
      <c r="S158" s="3" t="n">
        <v>72.8</v>
      </c>
      <c r="T158" s="5" t="n">
        <v>0.8605119998734818</v>
      </c>
      <c r="U158" s="6">
        <f>IF(OR(K158="",E158=""),"",(K158-E158)/K158)</f>
        <v/>
      </c>
      <c r="V158" s="6">
        <f>IF(OR(M158="",E158=""),"",(M158-E158)/M158)</f>
        <v/>
      </c>
      <c r="W158" s="6">
        <f>IF(OR(O158="",E158=""),"",(O158-E158)/O158)</f>
        <v/>
      </c>
      <c r="X158" s="6">
        <f>IF(OR(Q158="",E158=""),"",(Q158-E158)/Q158)</f>
        <v/>
      </c>
      <c r="Y158" s="6">
        <f>IF(OR(S158="",E158=""),"",((S158*3500)-E158)/(S158*3500))</f>
        <v/>
      </c>
      <c r="Z158" s="7" t="n"/>
    </row>
    <row r="159">
      <c r="A159" s="2" t="inlineStr">
        <is>
          <t>LA EMPERATRIZ</t>
        </is>
      </c>
      <c r="B159" s="2" t="inlineStr">
        <is>
          <t>I'M CHOCOLATE RING BANDEAU TOP</t>
        </is>
      </c>
      <c r="C159" s="2" t="inlineStr">
        <is>
          <t>273141/CHOLT</t>
        </is>
      </c>
      <c r="D159" s="2" t="n">
        <v>8000</v>
      </c>
      <c r="E159" s="3" t="n">
        <v>43790</v>
      </c>
      <c r="F159" s="4" t="n">
        <v>10185.03125</v>
      </c>
      <c r="G159" s="3">
        <f>IF(OR(E159="",F159=""),"",E159+F159)</f>
        <v/>
      </c>
      <c r="H159" s="3" t="n">
        <v>64230.2871875</v>
      </c>
      <c r="I159" s="3" t="n">
        <v>160575.71796875</v>
      </c>
      <c r="J159" s="3" t="n">
        <v>139900</v>
      </c>
      <c r="K159" s="3" t="n">
        <v>64659.66386554623</v>
      </c>
      <c r="L159" s="5" t="n">
        <v>0.1652441719734877</v>
      </c>
      <c r="M159" s="3" t="n">
        <v>82294.11764705883</v>
      </c>
      <c r="N159" s="5" t="n">
        <v>0.3441204208363117</v>
      </c>
      <c r="O159" s="3" t="n">
        <v>133039.9</v>
      </c>
      <c r="P159" s="5" t="n">
        <v>0.5942944090457073</v>
      </c>
      <c r="Q159" s="3" t="n">
        <v>93100</v>
      </c>
      <c r="R159" s="5" t="n">
        <v>0.4202467105263158</v>
      </c>
      <c r="S159" s="3" t="n">
        <v>91</v>
      </c>
      <c r="T159" s="5" t="n">
        <v>0.8439125759109312</v>
      </c>
      <c r="U159" s="6">
        <f>IF(OR(K159="",E159=""),"",(K159-E159)/K159)</f>
        <v/>
      </c>
      <c r="V159" s="6">
        <f>IF(OR(M159="",E159=""),"",(M159-E159)/M159)</f>
        <v/>
      </c>
      <c r="W159" s="6">
        <f>IF(OR(O159="",E159=""),"",(O159-E159)/O159)</f>
        <v/>
      </c>
      <c r="X159" s="6">
        <f>IF(OR(Q159="",E159=""),"",(Q159-E159)/Q159)</f>
        <v/>
      </c>
      <c r="Y159" s="6">
        <f>IF(OR(S159="",E159=""),"",((S159*3500)-E159)/(S159*3500))</f>
        <v/>
      </c>
      <c r="Z159" s="7" t="n"/>
    </row>
    <row r="160">
      <c r="A160" s="2" t="inlineStr">
        <is>
          <t>LA EMPERATRIZ</t>
        </is>
      </c>
      <c r="B160" s="2" t="inlineStr">
        <is>
          <t>I'M CHOCOLATE HIGH WAIST BOTTOM</t>
        </is>
      </c>
      <c r="C160" s="2" t="inlineStr">
        <is>
          <t>273223/CHOLT</t>
        </is>
      </c>
      <c r="D160" s="2" t="n">
        <v>8000</v>
      </c>
      <c r="E160" s="3" t="n">
        <v>23375.66</v>
      </c>
      <c r="F160" s="4" t="n">
        <v>10185.03125</v>
      </c>
      <c r="G160" s="3">
        <f>IF(OR(E160="",F160=""),"",E160+F160)</f>
        <v/>
      </c>
      <c r="H160" s="3" t="n">
        <v>39937.2225875</v>
      </c>
      <c r="I160" s="3" t="n">
        <v>99843.05646875</v>
      </c>
      <c r="J160" s="3" t="n">
        <v>109900</v>
      </c>
      <c r="K160" s="3" t="n">
        <v>50794.11764705883</v>
      </c>
      <c r="L160" s="5" t="n">
        <v>0.3392799638100752</v>
      </c>
      <c r="M160" s="3" t="n">
        <v>64647.05882352941</v>
      </c>
      <c r="N160" s="5" t="n">
        <v>0.4808628287079162</v>
      </c>
      <c r="O160" s="3" t="n">
        <v>98829.64</v>
      </c>
      <c r="P160" s="5" t="n">
        <v>0.6604187645528203</v>
      </c>
      <c r="Q160" s="3" t="n">
        <v>69160</v>
      </c>
      <c r="R160" s="5" t="n">
        <v>0.5147384145459802</v>
      </c>
      <c r="S160" s="3" t="n">
        <v>67.60000000000001</v>
      </c>
      <c r="T160" s="5" t="n">
        <v>0.8693526500700717</v>
      </c>
      <c r="U160" s="6">
        <f>IF(OR(K160="",E160=""),"",(K160-E160)/K160)</f>
        <v/>
      </c>
      <c r="V160" s="6">
        <f>IF(OR(M160="",E160=""),"",(M160-E160)/M160)</f>
        <v/>
      </c>
      <c r="W160" s="6">
        <f>IF(OR(O160="",E160=""),"",(O160-E160)/O160)</f>
        <v/>
      </c>
      <c r="X160" s="6">
        <f>IF(OR(Q160="",E160=""),"",(Q160-E160)/Q160)</f>
        <v/>
      </c>
      <c r="Y160" s="6">
        <f>IF(OR(S160="",E160=""),"",((S160*3500)-E160)/(S160*3500))</f>
        <v/>
      </c>
      <c r="Z160" s="7" t="n"/>
    </row>
    <row r="161">
      <c r="A161" s="2" t="inlineStr">
        <is>
          <t>LA EMPERATRIZ</t>
        </is>
      </c>
      <c r="B161" s="2" t="inlineStr">
        <is>
          <t>I'M CHOCOLATE RUCHED STRAPLESS ONE PIECE</t>
        </is>
      </c>
      <c r="C161" s="2" t="inlineStr">
        <is>
          <t>273373/CHOLT</t>
        </is>
      </c>
      <c r="D161" s="2" t="n">
        <v>8000</v>
      </c>
      <c r="E161" s="3" t="n">
        <v>42622</v>
      </c>
      <c r="F161" s="4" t="n">
        <v>10185.03125</v>
      </c>
      <c r="G161" s="3">
        <f>IF(OR(E161="",F161=""),"",E161+F161)</f>
        <v/>
      </c>
      <c r="H161" s="3" t="n">
        <v>62840.3671875</v>
      </c>
      <c r="I161" s="3" t="n">
        <v>157100.91796875</v>
      </c>
      <c r="J161" s="3" t="n">
        <v>199900</v>
      </c>
      <c r="K161" s="3" t="n">
        <v>92390.75630252103</v>
      </c>
      <c r="L161" s="5" t="n">
        <v>0.428438153735959</v>
      </c>
      <c r="M161" s="3" t="n">
        <v>117588.2352941176</v>
      </c>
      <c r="N161" s="5" t="n">
        <v>0.5509156922211105</v>
      </c>
      <c r="O161" s="3" t="n">
        <v>197659.28</v>
      </c>
      <c r="P161" s="5" t="n">
        <v>0.732838087591941</v>
      </c>
      <c r="Q161" s="3" t="n">
        <v>138320</v>
      </c>
      <c r="R161" s="5" t="n">
        <v>0.6182256271688837</v>
      </c>
      <c r="S161" s="3" t="n">
        <v>135.2</v>
      </c>
      <c r="T161" s="5" t="n">
        <v>0.8972145919300841</v>
      </c>
      <c r="U161" s="6">
        <f>IF(OR(K161="",E161=""),"",(K161-E161)/K161)</f>
        <v/>
      </c>
      <c r="V161" s="6">
        <f>IF(OR(M161="",E161=""),"",(M161-E161)/M161)</f>
        <v/>
      </c>
      <c r="W161" s="6">
        <f>IF(OR(O161="",E161=""),"",(O161-E161)/O161)</f>
        <v/>
      </c>
      <c r="X161" s="6">
        <f>IF(OR(Q161="",E161=""),"",(Q161-E161)/Q161)</f>
        <v/>
      </c>
      <c r="Y161" s="6">
        <f>IF(OR(S161="",E161=""),"",((S161*3500)-E161)/(S161*3500))</f>
        <v/>
      </c>
      <c r="Z161" s="7" t="n"/>
    </row>
    <row r="162">
      <c r="A162" s="2" t="inlineStr">
        <is>
          <t>LA EMPERATRIZ</t>
        </is>
      </c>
      <c r="B162" s="2" t="inlineStr">
        <is>
          <t>I'M CHOCOLATE UNDERWIRE BRALETTE TOP</t>
        </is>
      </c>
      <c r="C162" s="2" t="inlineStr">
        <is>
          <t>273149/CHOLT</t>
        </is>
      </c>
      <c r="D162" s="2" t="n">
        <v>8000</v>
      </c>
      <c r="E162" s="3" t="n">
        <v>26296</v>
      </c>
      <c r="F162" s="4" t="n">
        <v>10185.03125</v>
      </c>
      <c r="G162" s="3">
        <f>IF(OR(E162="",F162=""),"",E162+F162)</f>
        <v/>
      </c>
      <c r="H162" s="3" t="n">
        <v>43412.4271875</v>
      </c>
      <c r="I162" s="3" t="n">
        <v>108531.06796875</v>
      </c>
      <c r="J162" s="3" t="n">
        <v>129900</v>
      </c>
      <c r="K162" s="3" t="n">
        <v>60037.81512605043</v>
      </c>
      <c r="L162" s="5" t="n">
        <v>0.3923657752466934</v>
      </c>
      <c r="M162" s="3" t="n">
        <v>76411.76470588235</v>
      </c>
      <c r="N162" s="5" t="n">
        <v>0.5225731091224018</v>
      </c>
      <c r="O162" s="3" t="n">
        <v>121636.48</v>
      </c>
      <c r="P162" s="5" t="n">
        <v>0.7000814948771947</v>
      </c>
      <c r="Q162" s="3" t="n">
        <v>85120</v>
      </c>
      <c r="R162" s="5" t="n">
        <v>0.5714164561795113</v>
      </c>
      <c r="S162" s="3" t="n">
        <v>83.2</v>
      </c>
      <c r="T162" s="5" t="n">
        <v>0.8846121228175607</v>
      </c>
      <c r="U162" s="6">
        <f>IF(OR(K162="",E162=""),"",(K162-E162)/K162)</f>
        <v/>
      </c>
      <c r="V162" s="6">
        <f>IF(OR(M162="",E162=""),"",(M162-E162)/M162)</f>
        <v/>
      </c>
      <c r="W162" s="6">
        <f>IF(OR(O162="",E162=""),"",(O162-E162)/O162)</f>
        <v/>
      </c>
      <c r="X162" s="6">
        <f>IF(OR(Q162="",E162=""),"",(Q162-E162)/Q162)</f>
        <v/>
      </c>
      <c r="Y162" s="6">
        <f>IF(OR(S162="",E162=""),"",((S162*3500)-E162)/(S162*3500))</f>
        <v/>
      </c>
      <c r="Z162" s="7" t="n"/>
    </row>
    <row r="163">
      <c r="A163" s="2" t="inlineStr">
        <is>
          <t>LA EMPERATRIZ</t>
        </is>
      </c>
      <c r="B163" s="2" t="inlineStr">
        <is>
          <t>I'M CHOCOLATE MACRAME KNIT DRESS</t>
        </is>
      </c>
      <c r="C163" s="2" t="inlineStr">
        <is>
          <t>27VE32/CHOLT</t>
        </is>
      </c>
      <c r="D163" s="2" t="n">
        <v>8000</v>
      </c>
      <c r="E163" s="3" t="n">
        <v>59360</v>
      </c>
      <c r="F163" s="4" t="n">
        <v>10185.03125</v>
      </c>
      <c r="G163" s="3">
        <f>IF(OR(E163="",F163=""),"",E163+F163)</f>
        <v/>
      </c>
      <c r="H163" s="3" t="n">
        <v>82758.5871875</v>
      </c>
      <c r="I163" s="3" t="n">
        <v>206896.46796875</v>
      </c>
      <c r="J163" s="3" t="n">
        <v>219900</v>
      </c>
      <c r="K163" s="3" t="n">
        <v>101634.4537815126</v>
      </c>
      <c r="L163" s="5" t="n">
        <v>0.315733703852991</v>
      </c>
      <c r="M163" s="3" t="n">
        <v>129352.9411764706</v>
      </c>
      <c r="N163" s="5" t="n">
        <v>0.462362195884493</v>
      </c>
      <c r="O163" s="3" t="n">
        <v>228068.4</v>
      </c>
      <c r="P163" s="5" t="n">
        <v>0.695069412290348</v>
      </c>
      <c r="Q163" s="3" t="n">
        <v>159600</v>
      </c>
      <c r="R163" s="5" t="n">
        <v>0.5642541901629072</v>
      </c>
      <c r="S163" s="3" t="n">
        <v>156</v>
      </c>
      <c r="T163" s="5" t="n">
        <v>0.882683820428475</v>
      </c>
      <c r="U163" s="6">
        <f>IF(OR(K163="",E163=""),"",(K163-E163)/K163)</f>
        <v/>
      </c>
      <c r="V163" s="6">
        <f>IF(OR(M163="",E163=""),"",(M163-E163)/M163)</f>
        <v/>
      </c>
      <c r="W163" s="6">
        <f>IF(OR(O163="",E163=""),"",(O163-E163)/O163)</f>
        <v/>
      </c>
      <c r="X163" s="6">
        <f>IF(OR(Q163="",E163=""),"",(Q163-E163)/Q163)</f>
        <v/>
      </c>
      <c r="Y163" s="6">
        <f>IF(OR(S163="",E163=""),"",((S163*3500)-E163)/(S163*3500))</f>
        <v/>
      </c>
      <c r="Z163" s="7" t="n"/>
    </row>
    <row r="164">
      <c r="A164" s="2" t="inlineStr">
        <is>
          <t>LA EMPERATRIZ</t>
        </is>
      </c>
      <c r="B164" s="2" t="inlineStr">
        <is>
          <t>I'M CHOCOLATE MESH KNIT SHIRT</t>
        </is>
      </c>
      <c r="C164" s="2" t="inlineStr">
        <is>
          <t>27CA37/CHOLT</t>
        </is>
      </c>
      <c r="D164" s="2" t="n">
        <v>8000</v>
      </c>
      <c r="E164" s="3" t="n">
        <v>39513.2555555556</v>
      </c>
      <c r="F164" s="4" t="n">
        <v>10185.03125</v>
      </c>
      <c r="G164" s="3">
        <f>IF(OR(E164="",F164=""),"",E164+F164)</f>
        <v/>
      </c>
      <c r="H164" s="3" t="n">
        <v>59140.96129861117</v>
      </c>
      <c r="I164" s="3" t="n">
        <v>147852.4032465279</v>
      </c>
      <c r="J164" s="3" t="n">
        <v>149900</v>
      </c>
      <c r="K164" s="3" t="n">
        <v>69281.51260504202</v>
      </c>
      <c r="L164" s="5" t="n">
        <v>0.2826616374721188</v>
      </c>
      <c r="M164" s="3" t="n">
        <v>88176.4705882353</v>
      </c>
      <c r="N164" s="5" t="n">
        <v>0.4363770008709505</v>
      </c>
      <c r="O164" s="3" t="n">
        <v>152045.6</v>
      </c>
      <c r="P164" s="5" t="n">
        <v>0.6731356461117217</v>
      </c>
      <c r="Q164" s="3" t="n">
        <v>106400</v>
      </c>
      <c r="R164" s="5" t="n">
        <v>0.5329108382936504</v>
      </c>
      <c r="S164" s="3" t="n">
        <v>104</v>
      </c>
      <c r="T164" s="5" t="n">
        <v>0.8742452256944444</v>
      </c>
      <c r="U164" s="6">
        <f>IF(OR(K164="",E164=""),"",(K164-E164)/K164)</f>
        <v/>
      </c>
      <c r="V164" s="6">
        <f>IF(OR(M164="",E164=""),"",(M164-E164)/M164)</f>
        <v/>
      </c>
      <c r="W164" s="6">
        <f>IF(OR(O164="",E164=""),"",(O164-E164)/O164)</f>
        <v/>
      </c>
      <c r="X164" s="6">
        <f>IF(OR(Q164="",E164=""),"",(Q164-E164)/Q164)</f>
        <v/>
      </c>
      <c r="Y164" s="6">
        <f>IF(OR(S164="",E164=""),"",((S164*3500)-E164)/(S164*3500))</f>
        <v/>
      </c>
      <c r="Z164" s="7" t="n"/>
    </row>
    <row r="165">
      <c r="A165" s="2" t="inlineStr">
        <is>
          <t>LA EMPERATRIZ</t>
        </is>
      </c>
      <c r="B165" s="2" t="inlineStr">
        <is>
          <t>I'M CHOCOLATE MESH KNIT PANTS</t>
        </is>
      </c>
      <c r="C165" s="2" t="inlineStr">
        <is>
          <t>27PA26/CHOLT</t>
        </is>
      </c>
      <c r="D165" s="2" t="n">
        <v>8000</v>
      </c>
      <c r="E165" s="3" t="n">
        <v>47192.70193548387</v>
      </c>
      <c r="F165" s="4" t="n">
        <v>10185.03125</v>
      </c>
      <c r="G165" s="3">
        <f>IF(OR(E165="",F165=""),"",E165+F165)</f>
        <v/>
      </c>
      <c r="H165" s="3" t="n">
        <v>68279.5024907258</v>
      </c>
      <c r="I165" s="3" t="n">
        <v>170698.7562268145</v>
      </c>
      <c r="J165" s="3" t="n">
        <v>159900</v>
      </c>
      <c r="K165" s="3" t="n">
        <v>73903.36134453783</v>
      </c>
      <c r="L165" s="5" t="n">
        <v>0.2236113196801888</v>
      </c>
      <c r="M165" s="3" t="n">
        <v>94058.82352941176</v>
      </c>
      <c r="N165" s="5" t="n">
        <v>0.3899803226058625</v>
      </c>
      <c r="O165" s="3" t="n">
        <v>174852.44</v>
      </c>
      <c r="P165" s="5" t="n">
        <v>0.671850543318218</v>
      </c>
      <c r="Q165" s="3" t="n">
        <v>122360</v>
      </c>
      <c r="R165" s="5" t="n">
        <v>0.5310744264017336</v>
      </c>
      <c r="S165" s="3" t="n">
        <v>119.6</v>
      </c>
      <c r="T165" s="5" t="n">
        <v>0.873750807108159</v>
      </c>
      <c r="U165" s="6">
        <f>IF(OR(K165="",E165=""),"",(K165-E165)/K165)</f>
        <v/>
      </c>
      <c r="V165" s="6">
        <f>IF(OR(M165="",E165=""),"",(M165-E165)/M165)</f>
        <v/>
      </c>
      <c r="W165" s="6">
        <f>IF(OR(O165="",E165=""),"",(O165-E165)/O165)</f>
        <v/>
      </c>
      <c r="X165" s="6">
        <f>IF(OR(Q165="",E165=""),"",(Q165-E165)/Q165)</f>
        <v/>
      </c>
      <c r="Y165" s="6">
        <f>IF(OR(S165="",E165=""),"",((S165*3500)-E165)/(S165*3500))</f>
        <v/>
      </c>
      <c r="Z165" s="7" t="n"/>
    </row>
    <row r="166">
      <c r="A166" s="2" t="inlineStr">
        <is>
          <t>LA EMPERATRIZ</t>
        </is>
      </c>
      <c r="B166" s="2" t="inlineStr">
        <is>
          <t>RENACER TRIANGLE TOP</t>
        </is>
      </c>
      <c r="C166" s="2" t="inlineStr">
        <is>
          <t>273135/RENC</t>
        </is>
      </c>
      <c r="D166" s="2" t="n">
        <v>8000</v>
      </c>
      <c r="E166" s="3" t="n">
        <v>30076</v>
      </c>
      <c r="F166" s="4" t="n">
        <v>10185.03125</v>
      </c>
      <c r="G166" s="3">
        <f>IF(OR(E166="",F166=""),"",E166+F166)</f>
        <v/>
      </c>
      <c r="H166" s="3" t="n">
        <v>47910.62718749999</v>
      </c>
      <c r="I166" s="3" t="n">
        <v>119776.56796875</v>
      </c>
      <c r="J166" s="3" t="n">
        <v>109900</v>
      </c>
      <c r="K166" s="3" t="n">
        <v>50794.11764705883</v>
      </c>
      <c r="L166" s="5" t="n">
        <v>0.2073682324840765</v>
      </c>
      <c r="M166" s="3" t="n">
        <v>64647.05882352941</v>
      </c>
      <c r="N166" s="5" t="n">
        <v>0.3772178969517743</v>
      </c>
      <c r="O166" s="3" t="n">
        <v>98829.64</v>
      </c>
      <c r="P166" s="5" t="n">
        <v>0.5926218971353129</v>
      </c>
      <c r="Q166" s="3" t="n">
        <v>69160</v>
      </c>
      <c r="R166" s="5" t="n">
        <v>0.4178566910063621</v>
      </c>
      <c r="S166" s="3" t="n">
        <v>67.60000000000001</v>
      </c>
      <c r="T166" s="5" t="n">
        <v>0.8432691091170975</v>
      </c>
      <c r="U166" s="6">
        <f>IF(OR(K166="",E166=""),"",(K166-E166)/K166)</f>
        <v/>
      </c>
      <c r="V166" s="6">
        <f>IF(OR(M166="",E166=""),"",(M166-E166)/M166)</f>
        <v/>
      </c>
      <c r="W166" s="6">
        <f>IF(OR(O166="",E166=""),"",(O166-E166)/O166)</f>
        <v/>
      </c>
      <c r="X166" s="6">
        <f>IF(OR(Q166="",E166=""),"",(Q166-E166)/Q166)</f>
        <v/>
      </c>
      <c r="Y166" s="6">
        <f>IF(OR(S166="",E166=""),"",((S166*3500)-E166)/(S166*3500))</f>
        <v/>
      </c>
      <c r="Z166" s="7" t="n"/>
    </row>
    <row r="167">
      <c r="A167" s="2" t="inlineStr">
        <is>
          <t>LA EMPERATRIZ</t>
        </is>
      </c>
      <c r="B167" s="2" t="inlineStr">
        <is>
          <t>RENACER STRAP TIE SIDE BOTTOM</t>
        </is>
      </c>
      <c r="C167" s="2" t="inlineStr">
        <is>
          <t>273236/RENC</t>
        </is>
      </c>
      <c r="D167" s="2" t="n">
        <v>8000</v>
      </c>
      <c r="E167" s="3" t="n">
        <v>31458</v>
      </c>
      <c r="F167" s="4" t="n">
        <v>10185.03125</v>
      </c>
      <c r="G167" s="3">
        <f>IF(OR(E167="",F167=""),"",E167+F167)</f>
        <v/>
      </c>
      <c r="H167" s="3" t="n">
        <v>49555.2071875</v>
      </c>
      <c r="I167" s="3" t="n">
        <v>123888.01796875</v>
      </c>
      <c r="J167" s="3" t="n">
        <v>119900</v>
      </c>
      <c r="K167" s="3" t="n">
        <v>55415.96638655462</v>
      </c>
      <c r="L167" s="5" t="n">
        <v>0.2485373085525817</v>
      </c>
      <c r="M167" s="3" t="n">
        <v>70529.41176470587</v>
      </c>
      <c r="N167" s="5" t="n">
        <v>0.409565028148457</v>
      </c>
      <c r="O167" s="3" t="n">
        <v>98829.64</v>
      </c>
      <c r="P167" s="5" t="n">
        <v>0.5786382379820467</v>
      </c>
      <c r="Q167" s="3" t="n">
        <v>69160</v>
      </c>
      <c r="R167" s="5" t="n">
        <v>0.3978740420763447</v>
      </c>
      <c r="S167" s="3" t="n">
        <v>67.60000000000001</v>
      </c>
      <c r="T167" s="5" t="n">
        <v>0.8378891651744005</v>
      </c>
      <c r="U167" s="6">
        <f>IF(OR(K167="",E167=""),"",(K167-E167)/K167)</f>
        <v/>
      </c>
      <c r="V167" s="6">
        <f>IF(OR(M167="",E167=""),"",(M167-E167)/M167)</f>
        <v/>
      </c>
      <c r="W167" s="6">
        <f>IF(OR(O167="",E167=""),"",(O167-E167)/O167)</f>
        <v/>
      </c>
      <c r="X167" s="6">
        <f>IF(OR(Q167="",E167=""),"",(Q167-E167)/Q167)</f>
        <v/>
      </c>
      <c r="Y167" s="6">
        <f>IF(OR(S167="",E167=""),"",((S167*3500)-E167)/(S167*3500))</f>
        <v/>
      </c>
      <c r="Z167" s="7" t="n"/>
    </row>
    <row r="168">
      <c r="A168" s="2" t="inlineStr">
        <is>
          <t>LA EMPERATRIZ</t>
        </is>
      </c>
      <c r="B168" s="2" t="inlineStr">
        <is>
          <t>RENACER UNDERWIRE BRALETTE TOP</t>
        </is>
      </c>
      <c r="C168" s="2" t="inlineStr">
        <is>
          <t>273149/RENC</t>
        </is>
      </c>
      <c r="D168" s="2" t="n">
        <v>8000</v>
      </c>
      <c r="E168" s="3" t="n">
        <v>28453.01442857143</v>
      </c>
      <c r="F168" s="4" t="n">
        <v>10185.03125</v>
      </c>
      <c r="G168" s="3">
        <f>IF(OR(E168="",F168=""),"",E168+F168)</f>
        <v/>
      </c>
      <c r="H168" s="3" t="n">
        <v>45979.2743575</v>
      </c>
      <c r="I168" s="3" t="n">
        <v>114948.18589375</v>
      </c>
      <c r="J168" s="3" t="n">
        <v>139900</v>
      </c>
      <c r="K168" s="3" t="n">
        <v>64659.66386554623</v>
      </c>
      <c r="L168" s="5" t="n">
        <v>0.4024397380271624</v>
      </c>
      <c r="M168" s="3" t="n">
        <v>82294.11764705883</v>
      </c>
      <c r="N168" s="5" t="n">
        <v>0.5304883655927704</v>
      </c>
      <c r="O168" s="3" t="n">
        <v>121636.48</v>
      </c>
      <c r="P168" s="5" t="n">
        <v>0.6823482093647283</v>
      </c>
      <c r="Q168" s="3" t="n">
        <v>85120</v>
      </c>
      <c r="R168" s="5" t="n">
        <v>0.5460755911821966</v>
      </c>
      <c r="S168" s="3" t="n">
        <v>83.2</v>
      </c>
      <c r="T168" s="5" t="n">
        <v>0.8777895822413605</v>
      </c>
      <c r="U168" s="6">
        <f>IF(OR(K168="",E168=""),"",(K168-E168)/K168)</f>
        <v/>
      </c>
      <c r="V168" s="6">
        <f>IF(OR(M168="",E168=""),"",(M168-E168)/M168)</f>
        <v/>
      </c>
      <c r="W168" s="6">
        <f>IF(OR(O168="",E168=""),"",(O168-E168)/O168)</f>
        <v/>
      </c>
      <c r="X168" s="6">
        <f>IF(OR(Q168="",E168=""),"",(Q168-E168)/Q168)</f>
        <v/>
      </c>
      <c r="Y168" s="6">
        <f>IF(OR(S168="",E168=""),"",((S168*3500)-E168)/(S168*3500))</f>
        <v/>
      </c>
      <c r="Z168" s="7" t="n"/>
    </row>
    <row r="169">
      <c r="A169" s="2" t="inlineStr">
        <is>
          <t>LA EMPERATRIZ</t>
        </is>
      </c>
      <c r="B169" s="2" t="inlineStr">
        <is>
          <t>RENACER HIGH WAIST BOTTOM</t>
        </is>
      </c>
      <c r="C169" s="2" t="inlineStr">
        <is>
          <t>273223/RENC</t>
        </is>
      </c>
      <c r="D169" s="2" t="n">
        <v>8000</v>
      </c>
      <c r="E169" s="3" t="n">
        <v>21976.61</v>
      </c>
      <c r="F169" s="4" t="n">
        <v>10185.03125</v>
      </c>
      <c r="G169" s="3">
        <f>IF(OR(E169="",F169=""),"",E169+F169)</f>
        <v/>
      </c>
      <c r="H169" s="3" t="n">
        <v>38272.3530875</v>
      </c>
      <c r="I169" s="3" t="n">
        <v>95680.88271874998</v>
      </c>
      <c r="J169" s="3" t="n">
        <v>109900</v>
      </c>
      <c r="K169" s="3" t="n">
        <v>50794.11764705883</v>
      </c>
      <c r="L169" s="5" t="n">
        <v>0.3668235075275044</v>
      </c>
      <c r="M169" s="3" t="n">
        <v>64647.05882352941</v>
      </c>
      <c r="N169" s="5" t="n">
        <v>0.5025041844858962</v>
      </c>
      <c r="O169" s="3" t="n">
        <v>98829.64</v>
      </c>
      <c r="P169" s="5" t="n">
        <v>0.6745749428005606</v>
      </c>
      <c r="Q169" s="3" t="n">
        <v>69160</v>
      </c>
      <c r="R169" s="5" t="n">
        <v>0.5349675932620012</v>
      </c>
      <c r="S169" s="3" t="n">
        <v>67.60000000000001</v>
      </c>
      <c r="T169" s="5" t="n">
        <v>0.8747989674166926</v>
      </c>
      <c r="U169" s="6">
        <f>IF(OR(K169="",E169=""),"",(K169-E169)/K169)</f>
        <v/>
      </c>
      <c r="V169" s="6">
        <f>IF(OR(M169="",E169=""),"",(M169-E169)/M169)</f>
        <v/>
      </c>
      <c r="W169" s="6">
        <f>IF(OR(O169="",E169=""),"",(O169-E169)/O169)</f>
        <v/>
      </c>
      <c r="X169" s="6">
        <f>IF(OR(Q169="",E169=""),"",(Q169-E169)/Q169)</f>
        <v/>
      </c>
      <c r="Y169" s="6">
        <f>IF(OR(S169="",E169=""),"",((S169*3500)-E169)/(S169*3500))</f>
        <v/>
      </c>
      <c r="Z169" s="7" t="n"/>
    </row>
    <row r="170">
      <c r="A170" s="2" t="inlineStr">
        <is>
          <t>LA EMPERATRIZ</t>
        </is>
      </c>
      <c r="B170" s="2" t="inlineStr">
        <is>
          <t>RENACER STRAIGHT ONE PIECE</t>
        </is>
      </c>
      <c r="C170" s="2" t="inlineStr">
        <is>
          <t>273370/RENC</t>
        </is>
      </c>
      <c r="D170" s="2" t="n">
        <v>8000</v>
      </c>
      <c r="E170" s="3" t="n">
        <v>41826.0998</v>
      </c>
      <c r="F170" s="4" t="n">
        <v>10185.03125</v>
      </c>
      <c r="G170" s="3">
        <f>IF(OR(E170="",F170=""),"",E170+F170)</f>
        <v/>
      </c>
      <c r="H170" s="3" t="n">
        <v>61893.2459495</v>
      </c>
      <c r="I170" s="3" t="n">
        <v>154733.11487375</v>
      </c>
      <c r="J170" s="3" t="n">
        <v>189900</v>
      </c>
      <c r="K170" s="3" t="n">
        <v>87768.90756302522</v>
      </c>
      <c r="L170" s="5" t="n">
        <v>0.4074082440566806</v>
      </c>
      <c r="M170" s="3" t="n">
        <v>111705.8823529412</v>
      </c>
      <c r="N170" s="5" t="n">
        <v>0.5343921917588204</v>
      </c>
      <c r="O170" s="3" t="n">
        <v>190057</v>
      </c>
      <c r="P170" s="5" t="n">
        <v>0.7263393032090373</v>
      </c>
      <c r="Q170" s="3" t="n">
        <v>133000</v>
      </c>
      <c r="R170" s="5" t="n">
        <v>0.6089388642857143</v>
      </c>
      <c r="S170" s="3" t="n">
        <v>130</v>
      </c>
      <c r="T170" s="5" t="n">
        <v>0.8947143096153846</v>
      </c>
      <c r="U170" s="6">
        <f>IF(OR(K170="",E170=""),"",(K170-E170)/K170)</f>
        <v/>
      </c>
      <c r="V170" s="6">
        <f>IF(OR(M170="",E170=""),"",(M170-E170)/M170)</f>
        <v/>
      </c>
      <c r="W170" s="6">
        <f>IF(OR(O170="",E170=""),"",(O170-E170)/O170)</f>
        <v/>
      </c>
      <c r="X170" s="6">
        <f>IF(OR(Q170="",E170=""),"",(Q170-E170)/Q170)</f>
        <v/>
      </c>
      <c r="Y170" s="6">
        <f>IF(OR(S170="",E170=""),"",((S170*3500)-E170)/(S170*3500))</f>
        <v/>
      </c>
      <c r="Z170" s="7" t="n"/>
    </row>
    <row r="171">
      <c r="A171" s="2" t="inlineStr">
        <is>
          <t>LA EMPERATRIZ</t>
        </is>
      </c>
      <c r="B171" s="2" t="inlineStr">
        <is>
          <t>RENACER ONE SHOULDER ONE PIECE</t>
        </is>
      </c>
      <c r="C171" s="2" t="inlineStr">
        <is>
          <t>273326/RENC</t>
        </is>
      </c>
      <c r="D171" s="2" t="n">
        <v>8000</v>
      </c>
      <c r="E171" s="3" t="n">
        <v>50818.26518928901</v>
      </c>
      <c r="F171" s="4" t="n">
        <v>10185.03125</v>
      </c>
      <c r="G171" s="3">
        <f>IF(OR(E171="",F171=""),"",E171+F171)</f>
        <v/>
      </c>
      <c r="H171" s="3" t="n">
        <v>72593.92276275392</v>
      </c>
      <c r="I171" s="3" t="n">
        <v>181484.8069068848</v>
      </c>
      <c r="J171" s="3" t="n">
        <v>199900</v>
      </c>
      <c r="K171" s="3" t="n">
        <v>92390.75630252103</v>
      </c>
      <c r="L171" s="5" t="n">
        <v>0.3397251101664113</v>
      </c>
      <c r="M171" s="3" t="n">
        <v>117588.2352941176</v>
      </c>
      <c r="N171" s="5" t="n">
        <v>0.481212586559323</v>
      </c>
      <c r="O171" s="3" t="n">
        <v>197659.28</v>
      </c>
      <c r="P171" s="5" t="n">
        <v>0.6913714527378172</v>
      </c>
      <c r="Q171" s="3" t="n">
        <v>138320</v>
      </c>
      <c r="R171" s="5" t="n">
        <v>0.5589698059623408</v>
      </c>
      <c r="S171" s="3" t="n">
        <v>135.2</v>
      </c>
      <c r="T171" s="5" t="n">
        <v>0.8812611016052456</v>
      </c>
      <c r="U171" s="6">
        <f>IF(OR(K171="",E171=""),"",(K171-E171)/K171)</f>
        <v/>
      </c>
      <c r="V171" s="6">
        <f>IF(OR(M171="",E171=""),"",(M171-E171)/M171)</f>
        <v/>
      </c>
      <c r="W171" s="6">
        <f>IF(OR(O171="",E171=""),"",(O171-E171)/O171)</f>
        <v/>
      </c>
      <c r="X171" s="6">
        <f>IF(OR(Q171="",E171=""),"",(Q171-E171)/Q171)</f>
        <v/>
      </c>
      <c r="Y171" s="6">
        <f>IF(OR(S171="",E171=""),"",((S171*3500)-E171)/(S171*3500))</f>
        <v/>
      </c>
      <c r="Z171" s="7" t="n"/>
    </row>
    <row r="172">
      <c r="A172" s="2" t="inlineStr">
        <is>
          <t>LA EMPERATRIZ</t>
        </is>
      </c>
      <c r="B172" s="2" t="inlineStr">
        <is>
          <t>RENACER PAREO</t>
        </is>
      </c>
      <c r="C172" s="2" t="inlineStr">
        <is>
          <t>27RE22/RENC</t>
        </is>
      </c>
      <c r="D172" s="2" t="n">
        <v>8000</v>
      </c>
      <c r="E172" s="3" t="n">
        <v>22789.02857142857</v>
      </c>
      <c r="F172" s="4" t="n">
        <v>10185.03125</v>
      </c>
      <c r="G172" s="3">
        <f>IF(OR(E172="",F172=""),"",E172+F172)</f>
        <v/>
      </c>
      <c r="H172" s="3" t="n">
        <v>39239.1311875</v>
      </c>
      <c r="I172" s="3" t="n">
        <v>98097.82796874999</v>
      </c>
      <c r="J172" s="3" t="n">
        <v>139900</v>
      </c>
      <c r="K172" s="3" t="n">
        <v>64659.66386554623</v>
      </c>
      <c r="L172" s="5" t="n">
        <v>0.4900366341217754</v>
      </c>
      <c r="M172" s="3" t="n">
        <v>82294.11764705883</v>
      </c>
      <c r="N172" s="5" t="n">
        <v>0.5993144982385378</v>
      </c>
      <c r="O172" s="3" t="n">
        <v>110233.06</v>
      </c>
      <c r="P172" s="5" t="n">
        <v>0.7008695955512023</v>
      </c>
      <c r="Q172" s="3" t="n">
        <v>77139.99999999999</v>
      </c>
      <c r="R172" s="5" t="n">
        <v>0.5725426520426682</v>
      </c>
      <c r="S172" s="3" t="n">
        <v>75.40000000000001</v>
      </c>
      <c r="T172" s="5" t="n">
        <v>0.8849153293961031</v>
      </c>
      <c r="U172" s="6">
        <f>IF(OR(K172="",E172=""),"",(K172-E172)/K172)</f>
        <v/>
      </c>
      <c r="V172" s="6">
        <f>IF(OR(M172="",E172=""),"",(M172-E172)/M172)</f>
        <v/>
      </c>
      <c r="W172" s="6">
        <f>IF(OR(O172="",E172=""),"",(O172-E172)/O172)</f>
        <v/>
      </c>
      <c r="X172" s="6">
        <f>IF(OR(Q172="",E172=""),"",(Q172-E172)/Q172)</f>
        <v/>
      </c>
      <c r="Y172" s="6">
        <f>IF(OR(S172="",E172=""),"",((S172*3500)-E172)/(S172*3500))</f>
        <v/>
      </c>
      <c r="Z172" s="7" t="n"/>
    </row>
    <row r="173">
      <c r="A173" s="2" t="inlineStr">
        <is>
          <t>LA EMPERATRIZ</t>
        </is>
      </c>
      <c r="B173" s="2" t="inlineStr">
        <is>
          <t>RENACER TOWEL</t>
        </is>
      </c>
      <c r="C173" s="2" t="inlineStr">
        <is>
          <t>27TO27/RENC</t>
        </is>
      </c>
      <c r="D173" s="2" t="n">
        <v>8000</v>
      </c>
      <c r="E173" s="3" t="n">
        <v>30842</v>
      </c>
      <c r="F173" s="4" t="n">
        <v>10185.03125</v>
      </c>
      <c r="G173" s="3">
        <f>IF(OR(E173="",F173=""),"",E173+F173)</f>
        <v/>
      </c>
      <c r="H173" s="3" t="n">
        <v>48822.1671875</v>
      </c>
      <c r="I173" s="3" t="n">
        <v>122055.41796875</v>
      </c>
      <c r="J173" s="3" t="n">
        <v>89900</v>
      </c>
      <c r="K173" s="3" t="n">
        <v>41550.42016806723</v>
      </c>
      <c r="L173" s="5" t="n">
        <v>0.01259647714632437</v>
      </c>
      <c r="M173" s="3" t="n">
        <v>52882.35294117647</v>
      </c>
      <c r="N173" s="5" t="n">
        <v>0.2241829463292547</v>
      </c>
      <c r="O173" s="3" t="n">
        <v>106431.92</v>
      </c>
      <c r="P173" s="5" t="n">
        <v>0.6145232440606163</v>
      </c>
      <c r="Q173" s="3" t="n">
        <v>74479.99999999999</v>
      </c>
      <c r="R173" s="5" t="n">
        <v>0.4491537157626208</v>
      </c>
      <c r="S173" s="3" t="n">
        <v>72.8</v>
      </c>
      <c r="T173" s="5" t="n">
        <v>0.8516952311668594</v>
      </c>
      <c r="U173" s="6">
        <f>IF(OR(K173="",E173=""),"",(K173-E173)/K173)</f>
        <v/>
      </c>
      <c r="V173" s="6">
        <f>IF(OR(M173="",E173=""),"",(M173-E173)/M173)</f>
        <v/>
      </c>
      <c r="W173" s="6">
        <f>IF(OR(O173="",E173=""),"",(O173-E173)/O173)</f>
        <v/>
      </c>
      <c r="X173" s="6">
        <f>IF(OR(Q173="",E173=""),"",(Q173-E173)/Q173)</f>
        <v/>
      </c>
      <c r="Y173" s="6">
        <f>IF(OR(S173="",E173=""),"",((S173*3500)-E173)/(S173*3500))</f>
        <v/>
      </c>
      <c r="Z173" s="7" t="n"/>
    </row>
    <row r="174">
      <c r="A174" s="2" t="inlineStr">
        <is>
          <t>LA EMPERATRIZ</t>
        </is>
      </c>
      <c r="B174" s="2" t="inlineStr">
        <is>
          <t>RENACER RUCHED MESH MAXI SKIRT</t>
        </is>
      </c>
      <c r="C174" s="2" t="inlineStr">
        <is>
          <t>27FA28/RENC</t>
        </is>
      </c>
      <c r="D174" s="2" t="n">
        <v>8000</v>
      </c>
      <c r="E174" s="3" t="n">
        <v>30325</v>
      </c>
      <c r="F174" s="4" t="n">
        <v>10185.03125</v>
      </c>
      <c r="G174" s="3">
        <f>IF(OR(E174="",F174=""),"",E174+F174)</f>
        <v/>
      </c>
      <c r="H174" s="3" t="n">
        <v>48206.9371875</v>
      </c>
      <c r="I174" s="3" t="n">
        <v>120517.34296875</v>
      </c>
      <c r="J174" s="3" t="n">
        <v>129900</v>
      </c>
      <c r="K174" s="3" t="n">
        <v>60037.81512605043</v>
      </c>
      <c r="L174" s="5" t="n">
        <v>0.3252580700188958</v>
      </c>
      <c r="M174" s="3" t="n">
        <v>76411.76470588235</v>
      </c>
      <c r="N174" s="5" t="n">
        <v>0.469845626443418</v>
      </c>
      <c r="O174" s="3" t="n">
        <v>144443.32</v>
      </c>
      <c r="P174" s="5" t="n">
        <v>0.7195437542559946</v>
      </c>
      <c r="Q174" s="3" t="n">
        <v>101080</v>
      </c>
      <c r="R174" s="5" t="n">
        <v>0.5992280248318164</v>
      </c>
      <c r="S174" s="3" t="n">
        <v>98.8</v>
      </c>
      <c r="T174" s="5" t="n">
        <v>0.8920998528393351</v>
      </c>
      <c r="U174" s="6">
        <f>IF(OR(K174="",E174=""),"",(K174-E174)/K174)</f>
        <v/>
      </c>
      <c r="V174" s="6">
        <f>IF(OR(M174="",E174=""),"",(M174-E174)/M174)</f>
        <v/>
      </c>
      <c r="W174" s="6">
        <f>IF(OR(O174="",E174=""),"",(O174-E174)/O174)</f>
        <v/>
      </c>
      <c r="X174" s="6">
        <f>IF(OR(Q174="",E174=""),"",(Q174-E174)/Q174)</f>
        <v/>
      </c>
      <c r="Y174" s="6">
        <f>IF(OR(S174="",E174=""),"",((S174*3500)-E174)/(S174*3500))</f>
        <v/>
      </c>
      <c r="Z174" s="7" t="n"/>
    </row>
    <row r="175">
      <c r="A175" s="2" t="inlineStr">
        <is>
          <t>LA EMPERATRIZ</t>
        </is>
      </c>
      <c r="B175" s="2" t="inlineStr">
        <is>
          <t>RENACER CARGO PANTS</t>
        </is>
      </c>
      <c r="C175" s="2" t="inlineStr">
        <is>
          <t>27PA25/RENC</t>
        </is>
      </c>
      <c r="D175" s="2" t="n">
        <v>8000</v>
      </c>
      <c r="E175" s="3" t="n">
        <v>64756.51568253968</v>
      </c>
      <c r="F175" s="4" t="n">
        <v>10185.03125</v>
      </c>
      <c r="G175" s="3">
        <f>IF(OR(E175="",F175=""),"",E175+F175)</f>
        <v/>
      </c>
      <c r="H175" s="3" t="n">
        <v>89180.44084972222</v>
      </c>
      <c r="I175" s="3" t="n">
        <v>222951.1021243055</v>
      </c>
      <c r="J175" s="3" t="n">
        <v>189900</v>
      </c>
      <c r="K175" s="3" t="n">
        <v>87768.90756302522</v>
      </c>
      <c r="L175" s="5" t="n">
        <v>0.1461492570278882</v>
      </c>
      <c r="M175" s="3" t="n">
        <v>111705.8823529412</v>
      </c>
      <c r="N175" s="5" t="n">
        <v>0.3291172733790549</v>
      </c>
      <c r="O175" s="3" t="n">
        <v>212863.84</v>
      </c>
      <c r="P175" s="5" t="n">
        <v>0.6479366954362015</v>
      </c>
      <c r="Q175" s="3" t="n">
        <v>148960</v>
      </c>
      <c r="R175" s="5" t="n">
        <v>0.4969015377783318</v>
      </c>
      <c r="S175" s="3" t="n">
        <v>145.6</v>
      </c>
      <c r="T175" s="5" t="n">
        <v>0.8645504140172432</v>
      </c>
      <c r="U175" s="6">
        <f>IF(OR(K175="",E175=""),"",(K175-E175)/K175)</f>
        <v/>
      </c>
      <c r="V175" s="6">
        <f>IF(OR(M175="",E175=""),"",(M175-E175)/M175)</f>
        <v/>
      </c>
      <c r="W175" s="6">
        <f>IF(OR(O175="",E175=""),"",(O175-E175)/O175)</f>
        <v/>
      </c>
      <c r="X175" s="6">
        <f>IF(OR(Q175="",E175=""),"",(Q175-E175)/Q175)</f>
        <v/>
      </c>
      <c r="Y175" s="6">
        <f>IF(OR(S175="",E175=""),"",((S175*3500)-E175)/(S175*3500))</f>
        <v/>
      </c>
      <c r="Z175" s="7" t="n"/>
    </row>
    <row r="176">
      <c r="A176" s="2" t="inlineStr">
        <is>
          <t>LA EMPERATRIZ</t>
        </is>
      </c>
      <c r="B176" s="2" t="inlineStr">
        <is>
          <t>RENACER T-SHIRT</t>
        </is>
      </c>
      <c r="C176" s="2" t="inlineStr">
        <is>
          <t>27TSH20/RENC</t>
        </is>
      </c>
      <c r="D176" s="2" t="n">
        <v>8000</v>
      </c>
      <c r="E176" s="3" t="n">
        <v>35411.6</v>
      </c>
      <c r="F176" s="4" t="n">
        <v>10185.03125</v>
      </c>
      <c r="G176" s="3">
        <f>IF(OR(E176="",F176=""),"",E176+F176)</f>
        <v/>
      </c>
      <c r="H176" s="3" t="n">
        <v>54259.9911875</v>
      </c>
      <c r="I176" s="3" t="n">
        <v>135649.97796875</v>
      </c>
      <c r="J176" s="3" t="n">
        <v>129900</v>
      </c>
      <c r="K176" s="3" t="n">
        <v>60037.81512605043</v>
      </c>
      <c r="L176" s="5" t="n">
        <v>0.2405348003709148</v>
      </c>
      <c r="M176" s="3" t="n">
        <v>76411.76470588235</v>
      </c>
      <c r="N176" s="5" t="n">
        <v>0.4032773431485758</v>
      </c>
      <c r="O176" s="3" t="n">
        <v>129238.76</v>
      </c>
      <c r="P176" s="5" t="n">
        <v>0.6471907402237532</v>
      </c>
      <c r="Q176" s="3" t="n">
        <v>90439.99999999999</v>
      </c>
      <c r="R176" s="5" t="n">
        <v>0.4958355677797434</v>
      </c>
      <c r="S176" s="3" t="n">
        <v>88.40000000000001</v>
      </c>
      <c r="T176" s="5" t="n">
        <v>0.8642634220945464</v>
      </c>
      <c r="U176" s="6">
        <f>IF(OR(K176="",E176=""),"",(K176-E176)/K176)</f>
        <v/>
      </c>
      <c r="V176" s="6">
        <f>IF(OR(M176="",E176=""),"",(M176-E176)/M176)</f>
        <v/>
      </c>
      <c r="W176" s="6">
        <f>IF(OR(O176="",E176=""),"",(O176-E176)/O176)</f>
        <v/>
      </c>
      <c r="X176" s="6">
        <f>IF(OR(Q176="",E176=""),"",(Q176-E176)/Q176)</f>
        <v/>
      </c>
      <c r="Y176" s="6">
        <f>IF(OR(S176="",E176=""),"",((S176*3500)-E176)/(S176*3500))</f>
        <v/>
      </c>
      <c r="Z176" s="7" t="n"/>
    </row>
    <row r="177">
      <c r="A177" s="2" t="inlineStr">
        <is>
          <t>LA EMPERATRIZ</t>
        </is>
      </c>
      <c r="B177" s="2" t="inlineStr">
        <is>
          <t>RENACER MESH LONG DRESS</t>
        </is>
      </c>
      <c r="C177" s="2" t="inlineStr">
        <is>
          <t>27VE36/RENC</t>
        </is>
      </c>
      <c r="D177" s="2" t="n">
        <v>8000</v>
      </c>
      <c r="E177" s="3" t="n">
        <v>49635.625</v>
      </c>
      <c r="F177" s="4" t="n">
        <v>10185.03125</v>
      </c>
      <c r="G177" s="3">
        <f>IF(OR(E177="",F177=""),"",E177+F177)</f>
        <v/>
      </c>
      <c r="H177" s="3" t="n">
        <v>71186.5809375</v>
      </c>
      <c r="I177" s="3" t="n">
        <v>177966.45234375</v>
      </c>
      <c r="J177" s="3" t="n">
        <v>169900</v>
      </c>
      <c r="K177" s="3" t="n">
        <v>78525.21008403362</v>
      </c>
      <c r="L177" s="5" t="n">
        <v>0.2381980744020548</v>
      </c>
      <c r="M177" s="3" t="n">
        <v>99941.17647058824</v>
      </c>
      <c r="N177" s="5" t="n">
        <v>0.401441344173043</v>
      </c>
      <c r="O177" s="3" t="n">
        <v>182454.72</v>
      </c>
      <c r="P177" s="5" t="n">
        <v>0.6721342355517028</v>
      </c>
      <c r="Q177" s="3" t="n">
        <v>127680</v>
      </c>
      <c r="R177" s="5" t="n">
        <v>0.5314798226033834</v>
      </c>
      <c r="S177" s="3" t="n">
        <v>124.8</v>
      </c>
      <c r="T177" s="5" t="n">
        <v>0.8738599522393725</v>
      </c>
      <c r="U177" s="6">
        <f>IF(OR(K177="",E177=""),"",(K177-E177)/K177)</f>
        <v/>
      </c>
      <c r="V177" s="6">
        <f>IF(OR(M177="",E177=""),"",(M177-E177)/M177)</f>
        <v/>
      </c>
      <c r="W177" s="6">
        <f>IF(OR(O177="",E177=""),"",(O177-E177)/O177)</f>
        <v/>
      </c>
      <c r="X177" s="6">
        <f>IF(OR(Q177="",E177=""),"",(Q177-E177)/Q177)</f>
        <v/>
      </c>
      <c r="Y177" s="6">
        <f>IF(OR(S177="",E177=""),"",((S177*3500)-E177)/(S177*3500))</f>
        <v/>
      </c>
      <c r="Z177" s="7" t="n"/>
    </row>
    <row r="178">
      <c r="A178" s="2" t="inlineStr">
        <is>
          <t>LA EMPERATRIZ</t>
        </is>
      </c>
      <c r="B178" s="2" t="inlineStr">
        <is>
          <t>RENACER MESH DRESS</t>
        </is>
      </c>
      <c r="C178" s="2" t="inlineStr">
        <is>
          <t>27VE32/RENC</t>
        </is>
      </c>
      <c r="D178" s="2" t="n">
        <v>8000</v>
      </c>
      <c r="E178" s="3" t="n">
        <v>51220.07</v>
      </c>
      <c r="F178" s="4" t="n">
        <v>10185.03125</v>
      </c>
      <c r="G178" s="3">
        <f>IF(OR(E178="",F178=""),"",E178+F178)</f>
        <v/>
      </c>
      <c r="H178" s="3" t="n">
        <v>73072.07048749999</v>
      </c>
      <c r="I178" s="3" t="n">
        <v>182680.17621875</v>
      </c>
      <c r="J178" s="3" t="n">
        <v>169900</v>
      </c>
      <c r="K178" s="3" t="n">
        <v>78525.21008403362</v>
      </c>
      <c r="L178" s="5" t="n">
        <v>0.2180205416287657</v>
      </c>
      <c r="M178" s="3" t="n">
        <v>99941.17647058824</v>
      </c>
      <c r="N178" s="5" t="n">
        <v>0.3855875684226016</v>
      </c>
      <c r="O178" s="3" t="n">
        <v>182454.72</v>
      </c>
      <c r="P178" s="5" t="n">
        <v>0.6634501905459063</v>
      </c>
      <c r="Q178" s="3" t="n">
        <v>127680</v>
      </c>
      <c r="R178" s="5" t="n">
        <v>0.5190703222901003</v>
      </c>
      <c r="S178" s="3" t="n">
        <v>124.8</v>
      </c>
      <c r="T178" s="5" t="n">
        <v>0.8705189329242577</v>
      </c>
      <c r="U178" s="6">
        <f>IF(OR(K178="",E178=""),"",(K178-E178)/K178)</f>
        <v/>
      </c>
      <c r="V178" s="6">
        <f>IF(OR(M178="",E178=""),"",(M178-E178)/M178)</f>
        <v/>
      </c>
      <c r="W178" s="6">
        <f>IF(OR(O178="",E178=""),"",(O178-E178)/O178)</f>
        <v/>
      </c>
      <c r="X178" s="6">
        <f>IF(OR(Q178="",E178=""),"",(Q178-E178)/Q178)</f>
        <v/>
      </c>
      <c r="Y178" s="6">
        <f>IF(OR(S178="",E178=""),"",((S178*3500)-E178)/(S178*3500))</f>
        <v/>
      </c>
      <c r="Z178" s="7" t="n"/>
    </row>
    <row r="179">
      <c r="A179" s="2" t="inlineStr">
        <is>
          <t>LA EMPERATRIZ</t>
        </is>
      </c>
      <c r="B179" s="2" t="inlineStr">
        <is>
          <t>RENACER MESH SHIRT</t>
        </is>
      </c>
      <c r="C179" s="2" t="inlineStr">
        <is>
          <t>27CA36/RENC</t>
        </is>
      </c>
      <c r="D179" s="2" t="n">
        <v>8000</v>
      </c>
      <c r="E179" s="3" t="n">
        <v>30229.34408602151</v>
      </c>
      <c r="F179" s="4" t="n">
        <v>10185.03125</v>
      </c>
      <c r="G179" s="3">
        <f>IF(OR(E179="",F179=""),"",E179+F179)</f>
        <v/>
      </c>
      <c r="H179" s="3" t="n">
        <v>48093.10664986559</v>
      </c>
      <c r="I179" s="3" t="n">
        <v>120232.766624664</v>
      </c>
      <c r="J179" s="3" t="n">
        <v>129900</v>
      </c>
      <c r="K179" s="3" t="n">
        <v>60037.81512605043</v>
      </c>
      <c r="L179" s="5" t="n">
        <v>0.3268513310957298</v>
      </c>
      <c r="M179" s="3" t="n">
        <v>76411.76470588235</v>
      </c>
      <c r="N179" s="5" t="n">
        <v>0.4710974744323591</v>
      </c>
      <c r="O179" s="3" t="n">
        <v>144443.32</v>
      </c>
      <c r="P179" s="5" t="n">
        <v>0.7202059926618862</v>
      </c>
      <c r="Q179" s="3" t="n">
        <v>101080</v>
      </c>
      <c r="R179" s="5" t="n">
        <v>0.6001743635138355</v>
      </c>
      <c r="S179" s="3" t="n">
        <v>98.8</v>
      </c>
      <c r="T179" s="5" t="n">
        <v>0.8923546363306479</v>
      </c>
      <c r="U179" s="6">
        <f>IF(OR(K179="",E179=""),"",(K179-E179)/K179)</f>
        <v/>
      </c>
      <c r="V179" s="6">
        <f>IF(OR(M179="",E179=""),"",(M179-E179)/M179)</f>
        <v/>
      </c>
      <c r="W179" s="6">
        <f>IF(OR(O179="",E179=""),"",(O179-E179)/O179)</f>
        <v/>
      </c>
      <c r="X179" s="6">
        <f>IF(OR(Q179="",E179=""),"",(Q179-E179)/Q179)</f>
        <v/>
      </c>
      <c r="Y179" s="6">
        <f>IF(OR(S179="",E179=""),"",((S179*3500)-E179)/(S179*3500))</f>
        <v/>
      </c>
      <c r="Z179" s="7" t="n"/>
    </row>
    <row r="180">
      <c r="A180" s="2" t="inlineStr">
        <is>
          <t>LA EMPERATRIZ</t>
        </is>
      </c>
      <c r="B180" s="2" t="inlineStr">
        <is>
          <t>RENACER MESH LONG SHIRT</t>
        </is>
      </c>
      <c r="C180" s="2" t="inlineStr">
        <is>
          <t>27CA32/RENC</t>
        </is>
      </c>
      <c r="D180" s="2" t="n">
        <v>8000</v>
      </c>
      <c r="E180" s="3" t="n">
        <v>26982</v>
      </c>
      <c r="F180" s="4" t="n">
        <v>10185.03125</v>
      </c>
      <c r="G180" s="3">
        <f>IF(OR(E180="",F180=""),"",E180+F180)</f>
        <v/>
      </c>
      <c r="H180" s="3" t="n">
        <v>44228.7671875</v>
      </c>
      <c r="I180" s="3" t="n">
        <v>110571.91796875</v>
      </c>
      <c r="J180" s="3" t="n">
        <v>119900</v>
      </c>
      <c r="K180" s="3" t="n">
        <v>55415.96638655462</v>
      </c>
      <c r="L180" s="5" t="n">
        <v>0.3293082540374555</v>
      </c>
      <c r="M180" s="3" t="n">
        <v>70529.41176470587</v>
      </c>
      <c r="N180" s="5" t="n">
        <v>0.4730279138865721</v>
      </c>
      <c r="O180" s="3" t="n">
        <v>114034.2</v>
      </c>
      <c r="P180" s="5" t="n">
        <v>0.6740711887310999</v>
      </c>
      <c r="Q180" s="3" t="n">
        <v>79800</v>
      </c>
      <c r="R180" s="5" t="n">
        <v>0.5342477286967419</v>
      </c>
      <c r="S180" s="3" t="n">
        <v>78</v>
      </c>
      <c r="T180" s="5" t="n">
        <v>0.8746051577260459</v>
      </c>
      <c r="U180" s="6">
        <f>IF(OR(K180="",E180=""),"",(K180-E180)/K180)</f>
        <v/>
      </c>
      <c r="V180" s="6">
        <f>IF(OR(M180="",E180=""),"",(M180-E180)/M180)</f>
        <v/>
      </c>
      <c r="W180" s="6">
        <f>IF(OR(O180="",E180=""),"",(O180-E180)/O180)</f>
        <v/>
      </c>
      <c r="X180" s="6">
        <f>IF(OR(Q180="",E180=""),"",(Q180-E180)/Q180)</f>
        <v/>
      </c>
      <c r="Y180" s="6">
        <f>IF(OR(S180="",E180=""),"",((S180*3500)-E180)/(S180*3500))</f>
        <v/>
      </c>
      <c r="Z180" s="7" t="n"/>
    </row>
    <row r="181">
      <c r="A181" s="2" t="inlineStr">
        <is>
          <t>LA EMPERATRIZ</t>
        </is>
      </c>
      <c r="B181" s="2" t="inlineStr">
        <is>
          <t>RENACER EMBROIDERED SHIRT</t>
        </is>
      </c>
      <c r="C181" s="2" t="inlineStr">
        <is>
          <t>27CA38/RENC</t>
        </is>
      </c>
      <c r="D181" s="2" t="n">
        <v>8000</v>
      </c>
      <c r="E181" s="3" t="n">
        <v>58237</v>
      </c>
      <c r="F181" s="4" t="n">
        <v>10185.03125</v>
      </c>
      <c r="G181" s="3">
        <f>IF(OR(E181="",F181=""),"",E181+F181)</f>
        <v/>
      </c>
      <c r="H181" s="3" t="n">
        <v>81422.21718749999</v>
      </c>
      <c r="I181" s="3" t="n">
        <v>203555.54296875</v>
      </c>
      <c r="J181" s="3" t="n">
        <v>179900</v>
      </c>
      <c r="K181" s="3" t="n">
        <v>83147.05882352943</v>
      </c>
      <c r="L181" s="5" t="n">
        <v>0.1770961929607359</v>
      </c>
      <c r="M181" s="3" t="n">
        <v>105823.5294117647</v>
      </c>
      <c r="N181" s="5" t="n">
        <v>0.353432723040578</v>
      </c>
      <c r="O181" s="3" t="n">
        <v>209062.7</v>
      </c>
      <c r="P181" s="5" t="n">
        <v>0.6727200440346365</v>
      </c>
      <c r="Q181" s="3" t="n">
        <v>146300</v>
      </c>
      <c r="R181" s="5" t="n">
        <v>0.5323169429254956</v>
      </c>
      <c r="S181" s="3" t="n">
        <v>143</v>
      </c>
      <c r="T181" s="5" t="n">
        <v>0.8740853307876334</v>
      </c>
      <c r="U181" s="6">
        <f>IF(OR(K181="",E181=""),"",(K181-E181)/K181)</f>
        <v/>
      </c>
      <c r="V181" s="6">
        <f>IF(OR(M181="",E181=""),"",(M181-E181)/M181)</f>
        <v/>
      </c>
      <c r="W181" s="6">
        <f>IF(OR(O181="",E181=""),"",(O181-E181)/O181)</f>
        <v/>
      </c>
      <c r="X181" s="6">
        <f>IF(OR(Q181="",E181=""),"",(Q181-E181)/Q181)</f>
        <v/>
      </c>
      <c r="Y181" s="6">
        <f>IF(OR(S181="",E181=""),"",((S181*3500)-E181)/(S181*3500))</f>
        <v/>
      </c>
      <c r="Z181" s="7" t="n"/>
    </row>
    <row r="182">
      <c r="A182" s="2" t="inlineStr">
        <is>
          <t>LA EMPERATRIZ</t>
        </is>
      </c>
      <c r="B182" s="2" t="inlineStr">
        <is>
          <t>RENACER SLEEP SLEEVELESS SHIRT</t>
        </is>
      </c>
      <c r="C182" s="2" t="inlineStr">
        <is>
          <t>274124/RENC</t>
        </is>
      </c>
      <c r="D182" s="2" t="n">
        <v>8000</v>
      </c>
      <c r="E182" s="3" t="n">
        <v>18336.66</v>
      </c>
      <c r="F182" s="4" t="n">
        <v>10185.03125</v>
      </c>
      <c r="G182" s="3">
        <f>IF(OR(E182="",F182=""),"",E182+F182)</f>
        <v/>
      </c>
      <c r="H182" s="3" t="n">
        <v>33940.8125875</v>
      </c>
      <c r="I182" s="3" t="n">
        <v>84852.03146874999</v>
      </c>
      <c r="J182" s="3" t="n">
        <v>79950</v>
      </c>
      <c r="K182" s="3" t="n">
        <v>36951.68067226891</v>
      </c>
      <c r="L182" s="5" t="n">
        <v>0.2281354804138952</v>
      </c>
      <c r="M182" s="3" t="n">
        <v>47029.41176470588</v>
      </c>
      <c r="N182" s="5" t="n">
        <v>0.3935350203252032</v>
      </c>
      <c r="O182" s="3" t="n">
        <v>49414.82</v>
      </c>
      <c r="P182" s="5" t="n">
        <v>0.4228109856516729</v>
      </c>
      <c r="Q182" s="3" t="n">
        <v>34580</v>
      </c>
      <c r="R182" s="5" t="n">
        <v>0.1751968984962406</v>
      </c>
      <c r="S182" s="3" t="n">
        <v>33.8</v>
      </c>
      <c r="T182" s="5" t="n">
        <v>0.7779376265182186</v>
      </c>
      <c r="U182" s="6">
        <f>IF(OR(K182="",E182=""),"",(K182-E182)/K182)</f>
        <v/>
      </c>
      <c r="V182" s="6">
        <f>IF(OR(M182="",E182=""),"",(M182-E182)/M182)</f>
        <v/>
      </c>
      <c r="W182" s="6">
        <f>IF(OR(O182="",E182=""),"",(O182-E182)/O182)</f>
        <v/>
      </c>
      <c r="X182" s="6">
        <f>IF(OR(Q182="",E182=""),"",(Q182-E182)/Q182)</f>
        <v/>
      </c>
      <c r="Y182" s="6">
        <f>IF(OR(S182="",E182=""),"",((S182*3500)-E182)/(S182*3500))</f>
        <v/>
      </c>
      <c r="Z182" s="7" t="n"/>
    </row>
    <row r="183">
      <c r="A183" s="2" t="inlineStr">
        <is>
          <t>LA EMPERATRIZ</t>
        </is>
      </c>
      <c r="B183" s="2" t="inlineStr">
        <is>
          <t>RENACER SLEEP SHORT</t>
        </is>
      </c>
      <c r="C183" s="2" t="inlineStr">
        <is>
          <t>274222/RENC</t>
        </is>
      </c>
      <c r="D183" s="2" t="n">
        <v>8000</v>
      </c>
      <c r="E183" s="3" t="n">
        <v>18737.81</v>
      </c>
      <c r="F183" s="4" t="n">
        <v>10185.03125</v>
      </c>
      <c r="G183" s="3">
        <f>IF(OR(E183="",F183=""),"",E183+F183)</f>
        <v/>
      </c>
      <c r="H183" s="3" t="n">
        <v>34418.1810875</v>
      </c>
      <c r="I183" s="3" t="n">
        <v>86045.45271874999</v>
      </c>
      <c r="J183" s="3" t="n">
        <v>99950</v>
      </c>
      <c r="K183" s="3" t="n">
        <v>46195.37815126051</v>
      </c>
      <c r="L183" s="5" t="n">
        <v>0.373901840238301</v>
      </c>
      <c r="M183" s="3" t="n">
        <v>58794.11764705882</v>
      </c>
      <c r="N183" s="5" t="n">
        <v>0.5080657316158078</v>
      </c>
      <c r="O183" s="3" t="n">
        <v>49414.82</v>
      </c>
      <c r="P183" s="5" t="n">
        <v>0.4146929757105257</v>
      </c>
      <c r="Q183" s="3" t="n">
        <v>34580</v>
      </c>
      <c r="R183" s="5" t="n">
        <v>0.1635962622903412</v>
      </c>
      <c r="S183" s="3" t="n">
        <v>33.8</v>
      </c>
      <c r="T183" s="5" t="n">
        <v>0.7748143783089381</v>
      </c>
      <c r="U183" s="6">
        <f>IF(OR(K183="",E183=""),"",(K183-E183)/K183)</f>
        <v/>
      </c>
      <c r="V183" s="6">
        <f>IF(OR(M183="",E183=""),"",(M183-E183)/M183)</f>
        <v/>
      </c>
      <c r="W183" s="6">
        <f>IF(OR(O183="",E183=""),"",(O183-E183)/O183)</f>
        <v/>
      </c>
      <c r="X183" s="6">
        <f>IF(OR(Q183="",E183=""),"",(Q183-E183)/Q183)</f>
        <v/>
      </c>
      <c r="Y183" s="6">
        <f>IF(OR(S183="",E183=""),"",((S183*3500)-E183)/(S183*3500))</f>
        <v/>
      </c>
      <c r="Z183" s="7" t="n"/>
    </row>
    <row r="184">
      <c r="A184" s="2" t="inlineStr">
        <is>
          <t>LA EMPERATRIZ</t>
        </is>
      </c>
      <c r="B184" s="2" t="inlineStr">
        <is>
          <t>RENACER SLEEP LONG SHIRT</t>
        </is>
      </c>
      <c r="C184" s="2" t="inlineStr">
        <is>
          <t>274121/RENC</t>
        </is>
      </c>
      <c r="D184" s="2" t="n">
        <v>8000</v>
      </c>
      <c r="E184" s="3" t="n">
        <v>32611.31</v>
      </c>
      <c r="F184" s="4" t="n">
        <v>10185.03125</v>
      </c>
      <c r="G184" s="3">
        <f>IF(OR(E184="",F184=""),"",E184+F184)</f>
        <v/>
      </c>
      <c r="H184" s="3" t="n">
        <v>50927.6460875</v>
      </c>
      <c r="I184" s="3" t="n">
        <v>127319.11521875</v>
      </c>
      <c r="J184" s="3" t="n">
        <v>99950</v>
      </c>
      <c r="K184" s="3" t="n">
        <v>46195.37815126051</v>
      </c>
      <c r="L184" s="5" t="n">
        <v>0.07357958820319273</v>
      </c>
      <c r="M184" s="3" t="n">
        <v>58794.11764705882</v>
      </c>
      <c r="N184" s="5" t="n">
        <v>0.2720982478739369</v>
      </c>
      <c r="O184" s="3" t="n">
        <v>64619.37999999999</v>
      </c>
      <c r="P184" s="5" t="n">
        <v>0.3377166223198055</v>
      </c>
      <c r="Q184" s="3" t="n">
        <v>45219.99999999999</v>
      </c>
      <c r="R184" s="5" t="n">
        <v>0.05359705329500211</v>
      </c>
      <c r="S184" s="3" t="n">
        <v>44.2</v>
      </c>
      <c r="T184" s="5" t="n">
        <v>0.7451992066563468</v>
      </c>
      <c r="U184" s="6">
        <f>IF(OR(K184="",E184=""),"",(K184-E184)/K184)</f>
        <v/>
      </c>
      <c r="V184" s="6">
        <f>IF(OR(M184="",E184=""),"",(M184-E184)/M184)</f>
        <v/>
      </c>
      <c r="W184" s="6">
        <f>IF(OR(O184="",E184=""),"",(O184-E184)/O184)</f>
        <v/>
      </c>
      <c r="X184" s="6">
        <f>IF(OR(Q184="",E184=""),"",(Q184-E184)/Q184)</f>
        <v/>
      </c>
      <c r="Y184" s="6">
        <f>IF(OR(S184="",E184=""),"",((S184*3500)-E184)/(S184*3500))</f>
        <v/>
      </c>
      <c r="Z184" s="7" t="n"/>
    </row>
    <row r="185">
      <c r="A185" s="2" t="inlineStr">
        <is>
          <t>LA EMPERATRIZ</t>
        </is>
      </c>
      <c r="B185" s="2" t="inlineStr">
        <is>
          <t>RENACER SLEEP PANTS</t>
        </is>
      </c>
      <c r="C185" s="2" t="inlineStr">
        <is>
          <t>274323/RENC</t>
        </is>
      </c>
      <c r="D185" s="2" t="n">
        <v>8000</v>
      </c>
      <c r="E185" s="3" t="n">
        <v>28786.53</v>
      </c>
      <c r="F185" s="4" t="n">
        <v>10185.03125</v>
      </c>
      <c r="G185" s="3">
        <f>IF(OR(E185="",F185=""),"",E185+F185)</f>
        <v/>
      </c>
      <c r="H185" s="3" t="n">
        <v>46376.1578875</v>
      </c>
      <c r="I185" s="3" t="n">
        <v>115940.39471875</v>
      </c>
      <c r="J185" s="3" t="n">
        <v>99950</v>
      </c>
      <c r="K185" s="3" t="n">
        <v>46195.37815126051</v>
      </c>
      <c r="L185" s="5" t="n">
        <v>0.1563753169766703</v>
      </c>
      <c r="M185" s="3" t="n">
        <v>58794.11764705882</v>
      </c>
      <c r="N185" s="5" t="n">
        <v>0.3371520347673836</v>
      </c>
      <c r="O185" s="3" t="n">
        <v>57017.1</v>
      </c>
      <c r="P185" s="5" t="n">
        <v>0.3164934510874808</v>
      </c>
      <c r="Q185" s="3" t="n">
        <v>39900</v>
      </c>
      <c r="R185" s="5" t="n">
        <v>0.02326914160401005</v>
      </c>
      <c r="S185" s="3" t="n">
        <v>39</v>
      </c>
      <c r="T185" s="5" t="n">
        <v>0.7370339996626181</v>
      </c>
      <c r="U185" s="6">
        <f>IF(OR(K185="",E185=""),"",(K185-E185)/K185)</f>
        <v/>
      </c>
      <c r="V185" s="6">
        <f>IF(OR(M185="",E185=""),"",(M185-E185)/M185)</f>
        <v/>
      </c>
      <c r="W185" s="6">
        <f>IF(OR(O185="",E185=""),"",(O185-E185)/O185)</f>
        <v/>
      </c>
      <c r="X185" s="6">
        <f>IF(OR(Q185="",E185=""),"",(Q185-E185)/Q185)</f>
        <v/>
      </c>
      <c r="Y185" s="6">
        <f>IF(OR(S185="",E185=""),"",((S185*3500)-E185)/(S185*3500))</f>
        <v/>
      </c>
      <c r="Z185" s="7" t="n"/>
    </row>
    <row r="186">
      <c r="A186" s="2" t="inlineStr">
        <is>
          <t>LA EMPERATRIZ</t>
        </is>
      </c>
      <c r="B186" s="2" t="inlineStr">
        <is>
          <t>RENACER SLEEP SHORT SLEEVELESS SHIRT</t>
        </is>
      </c>
      <c r="C186" s="2" t="inlineStr">
        <is>
          <t>274125/RENC</t>
        </is>
      </c>
      <c r="D186" s="2" t="n">
        <v>8000</v>
      </c>
      <c r="E186" s="3" t="n">
        <v>21807.84375</v>
      </c>
      <c r="F186" s="4" t="n">
        <v>10185.03125</v>
      </c>
      <c r="G186" s="3">
        <f>IF(OR(E186="",F186=""),"",E186+F186)</f>
        <v/>
      </c>
      <c r="H186" s="3" t="n">
        <v>38071.52125</v>
      </c>
      <c r="I186" s="3" t="n">
        <v>95178.80312499999</v>
      </c>
      <c r="J186" s="3" t="n">
        <v>89950</v>
      </c>
      <c r="K186" s="3" t="n">
        <v>41573.52941176471</v>
      </c>
      <c r="L186" s="5" t="n">
        <v>0.2304508312698976</v>
      </c>
      <c r="M186" s="3" t="n">
        <v>52911.76470588235</v>
      </c>
      <c r="N186" s="5" t="n">
        <v>0.395354224569205</v>
      </c>
      <c r="O186" s="3" t="n">
        <v>53215.95999999999</v>
      </c>
      <c r="P186" s="5" t="n">
        <v>0.3988105260151277</v>
      </c>
      <c r="Q186" s="3" t="n">
        <v>37239.99999999999</v>
      </c>
      <c r="R186" s="5" t="n">
        <v>0.1409002416756175</v>
      </c>
      <c r="S186" s="3" t="n">
        <v>36.4</v>
      </c>
      <c r="T186" s="5" t="n">
        <v>0.7687039112203586</v>
      </c>
      <c r="U186" s="6">
        <f>IF(OR(K186="",E186=""),"",(K186-E186)/K186)</f>
        <v/>
      </c>
      <c r="V186" s="6">
        <f>IF(OR(M186="",E186=""),"",(M186-E186)/M186)</f>
        <v/>
      </c>
      <c r="W186" s="6">
        <f>IF(OR(O186="",E186=""),"",(O186-E186)/O186)</f>
        <v/>
      </c>
      <c r="X186" s="6">
        <f>IF(OR(Q186="",E186=""),"",(Q186-E186)/Q186)</f>
        <v/>
      </c>
      <c r="Y186" s="6">
        <f>IF(OR(S186="",E186=""),"",((S186*3500)-E186)/(S186*3500))</f>
        <v/>
      </c>
      <c r="Z186" s="7" t="n"/>
    </row>
    <row r="187">
      <c r="A187" s="2" t="inlineStr">
        <is>
          <t>LA EMPERATRIZ</t>
        </is>
      </c>
      <c r="B187" s="2" t="inlineStr">
        <is>
          <t>I'M WHITE MESH SPORTY TOP</t>
        </is>
      </c>
      <c r="C187" s="2" t="inlineStr">
        <is>
          <t>263176/WHT</t>
        </is>
      </c>
      <c r="D187" s="2" t="n">
        <v>8000</v>
      </c>
      <c r="E187" s="3" t="n">
        <v>34874.77793103448</v>
      </c>
      <c r="F187" s="4" t="n">
        <v>10185.03125</v>
      </c>
      <c r="G187" s="3">
        <f>IF(OR(E187="",F187=""),"",E187+F187)</f>
        <v/>
      </c>
      <c r="H187" s="3" t="n">
        <v>53621.17292543103</v>
      </c>
      <c r="I187" s="3" t="n">
        <v>134052.9323135776</v>
      </c>
      <c r="J187" s="3" t="n">
        <v>129900</v>
      </c>
      <c r="K187" s="3" t="n">
        <v>60037.81512605043</v>
      </c>
      <c r="L187" s="5" t="n">
        <v>0.2494761995180765</v>
      </c>
      <c r="M187" s="3" t="n">
        <v>76411.76470588235</v>
      </c>
      <c r="N187" s="5" t="n">
        <v>0.4103027281927742</v>
      </c>
      <c r="O187" s="3" t="n">
        <v>125437.62</v>
      </c>
      <c r="P187" s="5" t="n">
        <v>0.6407791443983512</v>
      </c>
      <c r="Q187" s="3" t="n">
        <v>87779.99999999999</v>
      </c>
      <c r="R187" s="5" t="n">
        <v>0.4866733973452439</v>
      </c>
      <c r="S187" s="3" t="n">
        <v>85.8</v>
      </c>
      <c r="T187" s="5" t="n">
        <v>0.8617966839006426</v>
      </c>
      <c r="U187" s="6">
        <f>IF(OR(K187="",E187=""),"",(K187-E187)/K187)</f>
        <v/>
      </c>
      <c r="V187" s="6">
        <f>IF(OR(M187="",E187=""),"",(M187-E187)/M187)</f>
        <v/>
      </c>
      <c r="W187" s="6">
        <f>IF(OR(O187="",E187=""),"",(O187-E187)/O187)</f>
        <v/>
      </c>
      <c r="X187" s="6">
        <f>IF(OR(Q187="",E187=""),"",(Q187-E187)/Q187)</f>
        <v/>
      </c>
      <c r="Y187" s="6">
        <f>IF(OR(S187="",E187=""),"",((S187*3500)-E187)/(S187*3500))</f>
        <v/>
      </c>
      <c r="Z187" s="7" t="n"/>
    </row>
    <row r="188">
      <c r="A188" s="2" t="inlineStr">
        <is>
          <t>LA EMPERATRIZ</t>
        </is>
      </c>
      <c r="B188" s="2" t="inlineStr">
        <is>
          <t>I'M WHITE MESH HIGH WAIST BOTTOM</t>
        </is>
      </c>
      <c r="C188" s="2" t="inlineStr">
        <is>
          <t>263244/WHT</t>
        </is>
      </c>
      <c r="D188" s="2" t="n">
        <v>8000</v>
      </c>
      <c r="E188" s="3" t="n">
        <v>24960.90620689655</v>
      </c>
      <c r="F188" s="4" t="n">
        <v>10185.03125</v>
      </c>
      <c r="G188" s="3">
        <f>IF(OR(E188="",F188=""),"",E188+F188)</f>
        <v/>
      </c>
      <c r="H188" s="3" t="n">
        <v>41823.66557370689</v>
      </c>
      <c r="I188" s="3" t="n">
        <v>104559.1639342672</v>
      </c>
      <c r="J188" s="3" t="n">
        <v>109900</v>
      </c>
      <c r="K188" s="3" t="n">
        <v>50794.11764705883</v>
      </c>
      <c r="L188" s="5" t="n">
        <v>0.3080707159615039</v>
      </c>
      <c r="M188" s="3" t="n">
        <v>64647.05882352941</v>
      </c>
      <c r="N188" s="5" t="n">
        <v>0.4563412768268959</v>
      </c>
      <c r="O188" s="3" t="n">
        <v>114034.2</v>
      </c>
      <c r="P188" s="5" t="n">
        <v>0.6917947645803053</v>
      </c>
      <c r="Q188" s="3" t="n">
        <v>79800</v>
      </c>
      <c r="R188" s="5" t="n">
        <v>0.5595747185852563</v>
      </c>
      <c r="S188" s="3" t="n">
        <v>78</v>
      </c>
      <c r="T188" s="5" t="n">
        <v>0.8814239626960305</v>
      </c>
      <c r="U188" s="6">
        <f>IF(OR(K188="",E188=""),"",(K188-E188)/K188)</f>
        <v/>
      </c>
      <c r="V188" s="6">
        <f>IF(OR(M188="",E188=""),"",(M188-E188)/M188)</f>
        <v/>
      </c>
      <c r="W188" s="6">
        <f>IF(OR(O188="",E188=""),"",(O188-E188)/O188)</f>
        <v/>
      </c>
      <c r="X188" s="6">
        <f>IF(OR(Q188="",E188=""),"",(Q188-E188)/Q188)</f>
        <v/>
      </c>
      <c r="Y188" s="6">
        <f>IF(OR(S188="",E188=""),"",((S188*3500)-E188)/(S188*3500))</f>
        <v/>
      </c>
      <c r="Z188" s="7" t="n"/>
    </row>
    <row r="189">
      <c r="A189" s="2" t="inlineStr">
        <is>
          <t>LA EMPERATRIZ</t>
        </is>
      </c>
      <c r="B189" s="2" t="inlineStr">
        <is>
          <t>I'M IVORY CARGO PANTS</t>
        </is>
      </c>
      <c r="C189" s="2" t="inlineStr">
        <is>
          <t>27PA25/IVRY</t>
        </is>
      </c>
      <c r="D189" s="2" t="n">
        <v>8000</v>
      </c>
      <c r="E189" s="3" t="n">
        <v>64756.51568253968</v>
      </c>
      <c r="F189" s="4" t="n">
        <v>10185.03125</v>
      </c>
      <c r="G189" s="3">
        <f>IF(OR(E189="",F189=""),"",E189+F189)</f>
        <v/>
      </c>
      <c r="H189" s="3" t="n">
        <v>89180.44084972222</v>
      </c>
      <c r="I189" s="3" t="n">
        <v>222951.1021243055</v>
      </c>
      <c r="J189" s="3" t="n">
        <v>189900</v>
      </c>
      <c r="K189" s="3" t="n">
        <v>87768.90756302522</v>
      </c>
      <c r="L189" s="5" t="n">
        <v>0.1461492570278882</v>
      </c>
      <c r="M189" s="3" t="n">
        <v>111705.8823529412</v>
      </c>
      <c r="N189" s="5" t="n">
        <v>0.3291172733790549</v>
      </c>
      <c r="O189" s="3" t="n">
        <v>212863.84</v>
      </c>
      <c r="P189" s="5" t="n">
        <v>0.6479366954362015</v>
      </c>
      <c r="Q189" s="3" t="n">
        <v>148960</v>
      </c>
      <c r="R189" s="5" t="n">
        <v>0.4969015377783318</v>
      </c>
      <c r="S189" s="3" t="n">
        <v>145.6</v>
      </c>
      <c r="T189" s="5" t="n">
        <v>0.8645504140172432</v>
      </c>
      <c r="U189" s="6">
        <f>IF(OR(K189="",E189=""),"",(K189-E189)/K189)</f>
        <v/>
      </c>
      <c r="V189" s="6">
        <f>IF(OR(M189="",E189=""),"",(M189-E189)/M189)</f>
        <v/>
      </c>
      <c r="W189" s="6">
        <f>IF(OR(O189="",E189=""),"",(O189-E189)/O189)</f>
        <v/>
      </c>
      <c r="X189" s="6">
        <f>IF(OR(Q189="",E189=""),"",(Q189-E189)/Q189)</f>
        <v/>
      </c>
      <c r="Y189" s="6">
        <f>IF(OR(S189="",E189=""),"",((S189*3500)-E189)/(S189*3500))</f>
        <v/>
      </c>
      <c r="Z189" s="7" t="n"/>
    </row>
    <row r="190">
      <c r="A190" s="2" t="inlineStr">
        <is>
          <t>LA EMPERATRIZ</t>
        </is>
      </c>
      <c r="B190" s="2" t="inlineStr">
        <is>
          <t>I'M IVORY EMBROIDERED SHIRT</t>
        </is>
      </c>
      <c r="C190" s="2" t="inlineStr">
        <is>
          <t>27CA38/IVRY</t>
        </is>
      </c>
      <c r="D190" s="2" t="n">
        <v>8000</v>
      </c>
      <c r="E190" s="3" t="n">
        <v>45437</v>
      </c>
      <c r="F190" s="4" t="n">
        <v>10185.03125</v>
      </c>
      <c r="G190" s="3">
        <f>IF(OR(E190="",F190=""),"",E190+F190)</f>
        <v/>
      </c>
      <c r="H190" s="3" t="n">
        <v>66190.21718749999</v>
      </c>
      <c r="I190" s="3" t="n">
        <v>165475.54296875</v>
      </c>
      <c r="J190" s="3" t="n">
        <v>149900</v>
      </c>
      <c r="K190" s="3" t="n">
        <v>69281.51260504202</v>
      </c>
      <c r="L190" s="5" t="n">
        <v>0.1971591098611196</v>
      </c>
      <c r="M190" s="3" t="n">
        <v>88176.4705882353</v>
      </c>
      <c r="N190" s="5" t="n">
        <v>0.3691964434623082</v>
      </c>
      <c r="O190" s="3" t="n">
        <v>209062.7</v>
      </c>
      <c r="P190" s="5" t="n">
        <v>0.7339456954779595</v>
      </c>
      <c r="Q190" s="3" t="n">
        <v>146300</v>
      </c>
      <c r="R190" s="5" t="n">
        <v>0.6198083988380041</v>
      </c>
      <c r="S190" s="3" t="n">
        <v>143</v>
      </c>
      <c r="T190" s="5" t="n">
        <v>0.897640722764078</v>
      </c>
      <c r="U190" s="6">
        <f>IF(OR(K190="",E190=""),"",(K190-E190)/K190)</f>
        <v/>
      </c>
      <c r="V190" s="6">
        <f>IF(OR(M190="",E190=""),"",(M190-E190)/M190)</f>
        <v/>
      </c>
      <c r="W190" s="6">
        <f>IF(OR(O190="",E190=""),"",(O190-E190)/O190)</f>
        <v/>
      </c>
      <c r="X190" s="6">
        <f>IF(OR(Q190="",E190=""),"",(Q190-E190)/Q190)</f>
        <v/>
      </c>
      <c r="Y190" s="6">
        <f>IF(OR(S190="",E190=""),"",((S190*3500)-E190)/(S190*3500))</f>
        <v/>
      </c>
      <c r="Z190" s="7" t="n"/>
    </row>
    <row r="191">
      <c r="A191" s="2" t="inlineStr">
        <is>
          <t>LA EMPERATRIZ</t>
        </is>
      </c>
      <c r="B191" s="2" t="inlineStr">
        <is>
          <t>I'M IVORY EMBROIDERED WRAP SKORT</t>
        </is>
      </c>
      <c r="C191" s="2" t="inlineStr">
        <is>
          <t>27FA29/IVRY</t>
        </is>
      </c>
      <c r="D191" s="2" t="n">
        <v>8000</v>
      </c>
      <c r="E191" s="3" t="n">
        <v>36274</v>
      </c>
      <c r="F191" s="4" t="n">
        <v>10185.03125</v>
      </c>
      <c r="G191" s="3">
        <f>IF(OR(E191="",F191=""),"",E191+F191)</f>
        <v/>
      </c>
      <c r="H191" s="3" t="n">
        <v>55286.2471875</v>
      </c>
      <c r="I191" s="3" t="n">
        <v>138215.61796875</v>
      </c>
      <c r="J191" s="3" t="n">
        <v>139900</v>
      </c>
      <c r="K191" s="3" t="n">
        <v>64659.66386554623</v>
      </c>
      <c r="L191" s="5" t="n">
        <v>0.2814835637468323</v>
      </c>
      <c r="M191" s="3" t="n">
        <v>82294.11764705883</v>
      </c>
      <c r="N191" s="5" t="n">
        <v>0.4354513715153681</v>
      </c>
      <c r="O191" s="3" t="n">
        <v>190057</v>
      </c>
      <c r="P191" s="5" t="n">
        <v>0.755552117259559</v>
      </c>
      <c r="Q191" s="3" t="n">
        <v>133000</v>
      </c>
      <c r="R191" s="5" t="n">
        <v>0.6506839755639098</v>
      </c>
      <c r="S191" s="3" t="n">
        <v>130</v>
      </c>
      <c r="T191" s="5" t="n">
        <v>0.9059533780364373</v>
      </c>
      <c r="U191" s="6">
        <f>IF(OR(K191="",E191=""),"",(K191-E191)/K191)</f>
        <v/>
      </c>
      <c r="V191" s="6">
        <f>IF(OR(M191="",E191=""),"",(M191-E191)/M191)</f>
        <v/>
      </c>
      <c r="W191" s="6">
        <f>IF(OR(O191="",E191=""),"",(O191-E191)/O191)</f>
        <v/>
      </c>
      <c r="X191" s="6">
        <f>IF(OR(Q191="",E191=""),"",(Q191-E191)/Q191)</f>
        <v/>
      </c>
      <c r="Y191" s="6">
        <f>IF(OR(S191="",E191=""),"",((S191*3500)-E191)/(S191*3500))</f>
        <v/>
      </c>
      <c r="Z191" s="7" t="n"/>
    </row>
    <row r="192">
      <c r="A192" s="2" t="inlineStr">
        <is>
          <t>LA EMPERATRIZ</t>
        </is>
      </c>
      <c r="B192" s="2" t="inlineStr">
        <is>
          <t>I'M IVORY EMBROIDERED WAISTCOAT</t>
        </is>
      </c>
      <c r="C192" s="2" t="inlineStr">
        <is>
          <t>27WA20/IVRY</t>
        </is>
      </c>
      <c r="D192" s="2" t="n">
        <v>8000</v>
      </c>
      <c r="E192" s="3" t="n"/>
      <c r="F192" s="4" t="n">
        <v>10185.03125</v>
      </c>
      <c r="G192" s="3">
        <f>IF(OR(E192="",F192=""),"",E192+F192)</f>
        <v/>
      </c>
      <c r="H192" s="3" t="n">
        <v>12120.1871875</v>
      </c>
      <c r="I192" s="3" t="n">
        <v>30300.46796875</v>
      </c>
      <c r="J192" s="3" t="n"/>
      <c r="K192" s="3" t="n">
        <v>0</v>
      </c>
      <c r="L192" s="5" t="e">
        <v>#DIV/0!</v>
      </c>
      <c r="M192" s="3" t="n">
        <v>0</v>
      </c>
      <c r="N192" s="5" t="e">
        <v>#DIV/0!</v>
      </c>
      <c r="O192" s="3" t="n">
        <v>197659.28</v>
      </c>
      <c r="P192" s="5" t="n">
        <v>0.9484717780516048</v>
      </c>
      <c r="Q192" s="3" t="n">
        <v>138320</v>
      </c>
      <c r="R192" s="5" t="n">
        <v>0.9263661708357432</v>
      </c>
      <c r="S192" s="3" t="n">
        <v>135.2</v>
      </c>
      <c r="T192" s="5" t="n">
        <v>0.9801755075327001</v>
      </c>
      <c r="U192" s="6">
        <f>IF(OR(K192="",E192=""),"",(K192-E192)/K192)</f>
        <v/>
      </c>
      <c r="V192" s="6">
        <f>IF(OR(M192="",E192=""),"",(M192-E192)/M192)</f>
        <v/>
      </c>
      <c r="W192" s="6">
        <f>IF(OR(O192="",E192=""),"",(O192-E192)/O192)</f>
        <v/>
      </c>
      <c r="X192" s="6">
        <f>IF(OR(Q192="",E192=""),"",(Q192-E192)/Q192)</f>
        <v/>
      </c>
      <c r="Y192" s="6">
        <f>IF(OR(S192="",E192=""),"",((S192*3500)-E192)/(S192*3500))</f>
        <v/>
      </c>
      <c r="Z192" s="8" t="inlineStr">
        <is>
          <t>Falta costo directo (COSTO PRODUCTO) en el archivo original — ya venía como #DIV/0! ahí</t>
        </is>
      </c>
    </row>
    <row r="193">
      <c r="A193" s="2" t="inlineStr">
        <is>
          <t>LA EMPERATRIZ</t>
        </is>
      </c>
      <c r="B193" s="2" t="inlineStr">
        <is>
          <t>VENUS TRIANGLE TOP</t>
        </is>
      </c>
      <c r="C193" s="2" t="inlineStr">
        <is>
          <t>273135/VENS</t>
        </is>
      </c>
      <c r="D193" s="2" t="n">
        <v>8000</v>
      </c>
      <c r="E193" s="3" t="n">
        <v>31318.24892307692</v>
      </c>
      <c r="F193" s="4" t="n">
        <v>10185.03125</v>
      </c>
      <c r="G193" s="3">
        <f>IF(OR(E193="",F193=""),"",E193+F193)</f>
        <v/>
      </c>
      <c r="H193" s="3" t="n">
        <v>49388.90340596154</v>
      </c>
      <c r="I193" s="3" t="n">
        <v>123472.2585149038</v>
      </c>
      <c r="J193" s="3" t="n">
        <v>109900</v>
      </c>
      <c r="K193" s="3" t="n">
        <v>50794.11764705883</v>
      </c>
      <c r="L193" s="5" t="n">
        <v>0.1829116815954745</v>
      </c>
      <c r="M193" s="3" t="n">
        <v>64647.05882352941</v>
      </c>
      <c r="N193" s="5" t="n">
        <v>0.3580020355393013</v>
      </c>
      <c r="O193" s="3" t="n">
        <v>98829.64</v>
      </c>
      <c r="P193" s="5" t="n">
        <v>0.5800522983481785</v>
      </c>
      <c r="Q193" s="3" t="n">
        <v>69160</v>
      </c>
      <c r="R193" s="5" t="n">
        <v>0.399894734339547</v>
      </c>
      <c r="S193" s="3" t="n">
        <v>67.60000000000001</v>
      </c>
      <c r="T193" s="5" t="n">
        <v>0.8384331977068011</v>
      </c>
      <c r="U193" s="6">
        <f>IF(OR(K193="",E193=""),"",(K193-E193)/K193)</f>
        <v/>
      </c>
      <c r="V193" s="6">
        <f>IF(OR(M193="",E193=""),"",(M193-E193)/M193)</f>
        <v/>
      </c>
      <c r="W193" s="6">
        <f>IF(OR(O193="",E193=""),"",(O193-E193)/O193)</f>
        <v/>
      </c>
      <c r="X193" s="6">
        <f>IF(OR(Q193="",E193=""),"",(Q193-E193)/Q193)</f>
        <v/>
      </c>
      <c r="Y193" s="6">
        <f>IF(OR(S193="",E193=""),"",((S193*3500)-E193)/(S193*3500))</f>
        <v/>
      </c>
      <c r="Z193" s="7" t="n"/>
    </row>
    <row r="194">
      <c r="A194" s="2" t="inlineStr">
        <is>
          <t>LA EMPERATRIZ</t>
        </is>
      </c>
      <c r="B194" s="2" t="inlineStr">
        <is>
          <t>VENUS STRAP TIE SIDE BOTTOM</t>
        </is>
      </c>
      <c r="C194" s="2" t="inlineStr">
        <is>
          <t>273236/VENS</t>
        </is>
      </c>
      <c r="D194" s="2" t="n">
        <v>8000</v>
      </c>
      <c r="E194" s="3" t="n">
        <v>31458</v>
      </c>
      <c r="F194" s="4" t="n">
        <v>10185.03125</v>
      </c>
      <c r="G194" s="3">
        <f>IF(OR(E194="",F194=""),"",E194+F194)</f>
        <v/>
      </c>
      <c r="H194" s="3" t="n">
        <v>49555.2071875</v>
      </c>
      <c r="I194" s="3" t="n">
        <v>123888.01796875</v>
      </c>
      <c r="J194" s="3" t="n">
        <v>119900</v>
      </c>
      <c r="K194" s="3" t="n">
        <v>55415.96638655462</v>
      </c>
      <c r="L194" s="5" t="n">
        <v>0.2485373085525817</v>
      </c>
      <c r="M194" s="3" t="n">
        <v>70529.41176470587</v>
      </c>
      <c r="N194" s="5" t="n">
        <v>0.409565028148457</v>
      </c>
      <c r="O194" s="3" t="n">
        <v>98829.64</v>
      </c>
      <c r="P194" s="5" t="n">
        <v>0.5786382379820467</v>
      </c>
      <c r="Q194" s="3" t="n">
        <v>69160</v>
      </c>
      <c r="R194" s="5" t="n">
        <v>0.3978740420763447</v>
      </c>
      <c r="S194" s="3" t="n">
        <v>67.60000000000001</v>
      </c>
      <c r="T194" s="5" t="n">
        <v>0.8378891651744005</v>
      </c>
      <c r="U194" s="6">
        <f>IF(OR(K194="",E194=""),"",(K194-E194)/K194)</f>
        <v/>
      </c>
      <c r="V194" s="6">
        <f>IF(OR(M194="",E194=""),"",(M194-E194)/M194)</f>
        <v/>
      </c>
      <c r="W194" s="6">
        <f>IF(OR(O194="",E194=""),"",(O194-E194)/O194)</f>
        <v/>
      </c>
      <c r="X194" s="6">
        <f>IF(OR(Q194="",E194=""),"",(Q194-E194)/Q194)</f>
        <v/>
      </c>
      <c r="Y194" s="6">
        <f>IF(OR(S194="",E194=""),"",((S194*3500)-E194)/(S194*3500))</f>
        <v/>
      </c>
      <c r="Z194" s="7" t="n"/>
    </row>
    <row r="195">
      <c r="A195" s="2" t="inlineStr">
        <is>
          <t>LA EMPERATRIZ</t>
        </is>
      </c>
      <c r="B195" s="2" t="inlineStr">
        <is>
          <t>VENUS SPORTY TOP</t>
        </is>
      </c>
      <c r="C195" s="2" t="inlineStr">
        <is>
          <t>273145/VENS</t>
        </is>
      </c>
      <c r="D195" s="2" t="n">
        <v>8000</v>
      </c>
      <c r="E195" s="3" t="n">
        <v>28675</v>
      </c>
      <c r="F195" s="4" t="n">
        <v>10185.03125</v>
      </c>
      <c r="G195" s="3">
        <f>IF(OR(E195="",F195=""),"",E195+F195)</f>
        <v/>
      </c>
      <c r="H195" s="3" t="n">
        <v>46243.4371875</v>
      </c>
      <c r="I195" s="3" t="n">
        <v>115608.59296875</v>
      </c>
      <c r="J195" s="3" t="n">
        <v>119900</v>
      </c>
      <c r="K195" s="3" t="n">
        <v>55415.96638655462</v>
      </c>
      <c r="L195" s="5" t="n">
        <v>0.2987574920388202</v>
      </c>
      <c r="M195" s="3" t="n">
        <v>70529.41176470587</v>
      </c>
      <c r="N195" s="5" t="n">
        <v>0.4490237437447873</v>
      </c>
      <c r="O195" s="3" t="n">
        <v>114034.2</v>
      </c>
      <c r="P195" s="5" t="n">
        <v>0.6592247654650973</v>
      </c>
      <c r="Q195" s="3" t="n">
        <v>79800</v>
      </c>
      <c r="R195" s="5" t="n">
        <v>0.5130321898496241</v>
      </c>
      <c r="S195" s="3" t="n">
        <v>78</v>
      </c>
      <c r="T195" s="5" t="n">
        <v>0.8688932818825911</v>
      </c>
      <c r="U195" s="6">
        <f>IF(OR(K195="",E195=""),"",(K195-E195)/K195)</f>
        <v/>
      </c>
      <c r="V195" s="6">
        <f>IF(OR(M195="",E195=""),"",(M195-E195)/M195)</f>
        <v/>
      </c>
      <c r="W195" s="6">
        <f>IF(OR(O195="",E195=""),"",(O195-E195)/O195)</f>
        <v/>
      </c>
      <c r="X195" s="6">
        <f>IF(OR(Q195="",E195=""),"",(Q195-E195)/Q195)</f>
        <v/>
      </c>
      <c r="Y195" s="6">
        <f>IF(OR(S195="",E195=""),"",((S195*3500)-E195)/(S195*3500))</f>
        <v/>
      </c>
      <c r="Z195" s="7" t="n"/>
    </row>
    <row r="196">
      <c r="A196" s="2" t="inlineStr">
        <is>
          <t>LA EMPERATRIZ</t>
        </is>
      </c>
      <c r="B196" s="2" t="inlineStr">
        <is>
          <t>VENUS HIGH WAIST BOTTOM</t>
        </is>
      </c>
      <c r="C196" s="2" t="inlineStr">
        <is>
          <t>273223/VENS</t>
        </is>
      </c>
      <c r="D196" s="2" t="n">
        <v>8000</v>
      </c>
      <c r="E196" s="3" t="n">
        <v>21976.61</v>
      </c>
      <c r="F196" s="4" t="n">
        <v>10185.03125</v>
      </c>
      <c r="G196" s="3">
        <f>IF(OR(E196="",F196=""),"",E196+F196)</f>
        <v/>
      </c>
      <c r="H196" s="3" t="n">
        <v>38272.3530875</v>
      </c>
      <c r="I196" s="3" t="n">
        <v>95680.88271874998</v>
      </c>
      <c r="J196" s="3" t="n">
        <v>109900</v>
      </c>
      <c r="K196" s="3" t="n">
        <v>50794.11764705883</v>
      </c>
      <c r="L196" s="5" t="n">
        <v>0.3668235075275044</v>
      </c>
      <c r="M196" s="3" t="n">
        <v>64647.05882352941</v>
      </c>
      <c r="N196" s="5" t="n">
        <v>0.5025041844858962</v>
      </c>
      <c r="O196" s="3" t="n">
        <v>98829.64</v>
      </c>
      <c r="P196" s="5" t="n">
        <v>0.6745749428005606</v>
      </c>
      <c r="Q196" s="3" t="n">
        <v>69160</v>
      </c>
      <c r="R196" s="5" t="n">
        <v>0.5349675932620012</v>
      </c>
      <c r="S196" s="3" t="n">
        <v>67.60000000000001</v>
      </c>
      <c r="T196" s="5" t="n">
        <v>0.8747989674166926</v>
      </c>
      <c r="U196" s="6">
        <f>IF(OR(K196="",E196=""),"",(K196-E196)/K196)</f>
        <v/>
      </c>
      <c r="V196" s="6">
        <f>IF(OR(M196="",E196=""),"",(M196-E196)/M196)</f>
        <v/>
      </c>
      <c r="W196" s="6">
        <f>IF(OR(O196="",E196=""),"",(O196-E196)/O196)</f>
        <v/>
      </c>
      <c r="X196" s="6">
        <f>IF(OR(Q196="",E196=""),"",(Q196-E196)/Q196)</f>
        <v/>
      </c>
      <c r="Y196" s="6">
        <f>IF(OR(S196="",E196=""),"",((S196*3500)-E196)/(S196*3500))</f>
        <v/>
      </c>
      <c r="Z196" s="7" t="n"/>
    </row>
    <row r="197">
      <c r="A197" s="2" t="inlineStr">
        <is>
          <t>LA EMPERATRIZ</t>
        </is>
      </c>
      <c r="B197" s="2" t="inlineStr">
        <is>
          <t>VENUS STRAIGHT ONE PIECE</t>
        </is>
      </c>
      <c r="C197" s="2" t="inlineStr">
        <is>
          <t>273370/VENS</t>
        </is>
      </c>
      <c r="D197" s="2" t="n">
        <v>8000</v>
      </c>
      <c r="E197" s="3" t="n">
        <v>41826.0998</v>
      </c>
      <c r="F197" s="4" t="n">
        <v>10185.03125</v>
      </c>
      <c r="G197" s="3">
        <f>IF(OR(E197="",F197=""),"",E197+F197)</f>
        <v/>
      </c>
      <c r="H197" s="3" t="n">
        <v>61893.2459495</v>
      </c>
      <c r="I197" s="3" t="n">
        <v>154733.11487375</v>
      </c>
      <c r="J197" s="3" t="n">
        <v>189900</v>
      </c>
      <c r="K197" s="3" t="n">
        <v>87768.90756302522</v>
      </c>
      <c r="L197" s="5" t="n">
        <v>0.4074082440566806</v>
      </c>
      <c r="M197" s="3" t="n">
        <v>111705.8823529412</v>
      </c>
      <c r="N197" s="5" t="n">
        <v>0.5343921917588204</v>
      </c>
      <c r="O197" s="3" t="n">
        <v>190057</v>
      </c>
      <c r="P197" s="5" t="n">
        <v>0.7263393032090373</v>
      </c>
      <c r="Q197" s="3" t="n">
        <v>133000</v>
      </c>
      <c r="R197" s="5" t="n">
        <v>0.6089388642857143</v>
      </c>
      <c r="S197" s="3" t="n">
        <v>130</v>
      </c>
      <c r="T197" s="5" t="n">
        <v>0.8947143096153846</v>
      </c>
      <c r="U197" s="6">
        <f>IF(OR(K197="",E197=""),"",(K197-E197)/K197)</f>
        <v/>
      </c>
      <c r="V197" s="6">
        <f>IF(OR(M197="",E197=""),"",(M197-E197)/M197)</f>
        <v/>
      </c>
      <c r="W197" s="6">
        <f>IF(OR(O197="",E197=""),"",(O197-E197)/O197)</f>
        <v/>
      </c>
      <c r="X197" s="6">
        <f>IF(OR(Q197="",E197=""),"",(Q197-E197)/Q197)</f>
        <v/>
      </c>
      <c r="Y197" s="6">
        <f>IF(OR(S197="",E197=""),"",((S197*3500)-E197)/(S197*3500))</f>
        <v/>
      </c>
      <c r="Z197" s="7" t="n"/>
    </row>
    <row r="198">
      <c r="A198" s="2" t="inlineStr">
        <is>
          <t>LA EMPERATRIZ</t>
        </is>
      </c>
      <c r="B198" s="2" t="inlineStr">
        <is>
          <t>VENUS RUCHED STRAPLESS ONE PIECE</t>
        </is>
      </c>
      <c r="C198" s="2" t="inlineStr">
        <is>
          <t>273373/VENS</t>
        </is>
      </c>
      <c r="D198" s="2" t="n">
        <v>8000</v>
      </c>
      <c r="E198" s="3" t="n">
        <v>42622</v>
      </c>
      <c r="F198" s="4" t="n">
        <v>10185.03125</v>
      </c>
      <c r="G198" s="3">
        <f>IF(OR(E198="",F198=""),"",E198+F198)</f>
        <v/>
      </c>
      <c r="H198" s="3" t="n">
        <v>62840.3671875</v>
      </c>
      <c r="I198" s="3" t="n">
        <v>157100.91796875</v>
      </c>
      <c r="J198" s="3" t="n">
        <v>199900</v>
      </c>
      <c r="K198" s="3" t="n">
        <v>92390.75630252103</v>
      </c>
      <c r="L198" s="5" t="n">
        <v>0.428438153735959</v>
      </c>
      <c r="M198" s="3" t="n">
        <v>117588.2352941176</v>
      </c>
      <c r="N198" s="5" t="n">
        <v>0.5509156922211105</v>
      </c>
      <c r="O198" s="3" t="n">
        <v>197659.28</v>
      </c>
      <c r="P198" s="5" t="n">
        <v>0.732838087591941</v>
      </c>
      <c r="Q198" s="3" t="n">
        <v>138320</v>
      </c>
      <c r="R198" s="5" t="n">
        <v>0.6182256271688837</v>
      </c>
      <c r="S198" s="3" t="n">
        <v>135.2</v>
      </c>
      <c r="T198" s="5" t="n">
        <v>0.8972145919300841</v>
      </c>
      <c r="U198" s="6">
        <f>IF(OR(K198="",E198=""),"",(K198-E198)/K198)</f>
        <v/>
      </c>
      <c r="V198" s="6">
        <f>IF(OR(M198="",E198=""),"",(M198-E198)/M198)</f>
        <v/>
      </c>
      <c r="W198" s="6">
        <f>IF(OR(O198="",E198=""),"",(O198-E198)/O198)</f>
        <v/>
      </c>
      <c r="X198" s="6">
        <f>IF(OR(Q198="",E198=""),"",(Q198-E198)/Q198)</f>
        <v/>
      </c>
      <c r="Y198" s="6">
        <f>IF(OR(S198="",E198=""),"",((S198*3500)-E198)/(S198*3500))</f>
        <v/>
      </c>
      <c r="Z198" s="7" t="n"/>
    </row>
    <row r="199">
      <c r="A199" s="2" t="inlineStr">
        <is>
          <t>LA EMPERATRIZ</t>
        </is>
      </c>
      <c r="B199" s="2" t="inlineStr">
        <is>
          <t>VENUS PAREO</t>
        </is>
      </c>
      <c r="C199" s="2" t="inlineStr">
        <is>
          <t>27RE22/VENS</t>
        </is>
      </c>
      <c r="D199" s="2" t="n">
        <v>8000</v>
      </c>
      <c r="E199" s="3" t="n">
        <v>22789.02857142857</v>
      </c>
      <c r="F199" s="4" t="n">
        <v>10185.03125</v>
      </c>
      <c r="G199" s="3">
        <f>IF(OR(E199="",F199=""),"",E199+F199)</f>
        <v/>
      </c>
      <c r="H199" s="3" t="n">
        <v>39239.1311875</v>
      </c>
      <c r="I199" s="3" t="n">
        <v>98097.82796874999</v>
      </c>
      <c r="J199" s="3" t="n">
        <v>139900</v>
      </c>
      <c r="K199" s="3" t="n">
        <v>64659.66386554623</v>
      </c>
      <c r="L199" s="5" t="n">
        <v>0.4900366341217754</v>
      </c>
      <c r="M199" s="3" t="n">
        <v>82294.11764705883</v>
      </c>
      <c r="N199" s="5" t="n">
        <v>0.5993144982385378</v>
      </c>
      <c r="O199" s="3" t="n">
        <v>136841.04</v>
      </c>
      <c r="P199" s="5" t="n">
        <v>0.7590338408606908</v>
      </c>
      <c r="Q199" s="3" t="n">
        <v>95760</v>
      </c>
      <c r="R199" s="5" t="n">
        <v>0.6556593585899272</v>
      </c>
      <c r="S199" s="3" t="n">
        <v>93.60000000000001</v>
      </c>
      <c r="T199" s="5" t="n">
        <v>0.9072929042357497</v>
      </c>
      <c r="U199" s="6">
        <f>IF(OR(K199="",E199=""),"",(K199-E199)/K199)</f>
        <v/>
      </c>
      <c r="V199" s="6">
        <f>IF(OR(M199="",E199=""),"",(M199-E199)/M199)</f>
        <v/>
      </c>
      <c r="W199" s="6">
        <f>IF(OR(O199="",E199=""),"",(O199-E199)/O199)</f>
        <v/>
      </c>
      <c r="X199" s="6">
        <f>IF(OR(Q199="",E199=""),"",(Q199-E199)/Q199)</f>
        <v/>
      </c>
      <c r="Y199" s="6">
        <f>IF(OR(S199="",E199=""),"",((S199*3500)-E199)/(S199*3500))</f>
        <v/>
      </c>
      <c r="Z199" s="7" t="n"/>
    </row>
    <row r="200">
      <c r="A200" s="2" t="inlineStr">
        <is>
          <t>LA EMPERATRIZ</t>
        </is>
      </c>
      <c r="B200" s="2" t="inlineStr">
        <is>
          <t>VENUS TOWEL</t>
        </is>
      </c>
      <c r="C200" s="2" t="inlineStr">
        <is>
          <t>27TO27/VENS</t>
        </is>
      </c>
      <c r="D200" s="2" t="n">
        <v>8000</v>
      </c>
      <c r="E200" s="3" t="n">
        <v>30842</v>
      </c>
      <c r="F200" s="4" t="n">
        <v>10185.03125</v>
      </c>
      <c r="G200" s="3">
        <f>IF(OR(E200="",F200=""),"",E200+F200)</f>
        <v/>
      </c>
      <c r="H200" s="3" t="n">
        <v>48822.1671875</v>
      </c>
      <c r="I200" s="3" t="n">
        <v>122055.41796875</v>
      </c>
      <c r="J200" s="3" t="n">
        <v>89900</v>
      </c>
      <c r="K200" s="3" t="n">
        <v>41550.42016806723</v>
      </c>
      <c r="L200" s="5" t="n">
        <v>0.01259647714632437</v>
      </c>
      <c r="M200" s="3" t="n">
        <v>52882.35294117647</v>
      </c>
      <c r="N200" s="5" t="n">
        <v>0.2241829463292547</v>
      </c>
      <c r="O200" s="3" t="n">
        <v>106431.92</v>
      </c>
      <c r="P200" s="5" t="n">
        <v>0.6145232440606163</v>
      </c>
      <c r="Q200" s="3" t="n">
        <v>74479.99999999999</v>
      </c>
      <c r="R200" s="5" t="n">
        <v>0.4491537157626208</v>
      </c>
      <c r="S200" s="3" t="n">
        <v>72.8</v>
      </c>
      <c r="T200" s="5" t="n">
        <v>0.8516952311668594</v>
      </c>
      <c r="U200" s="6">
        <f>IF(OR(K200="",E200=""),"",(K200-E200)/K200)</f>
        <v/>
      </c>
      <c r="V200" s="6">
        <f>IF(OR(M200="",E200=""),"",(M200-E200)/M200)</f>
        <v/>
      </c>
      <c r="W200" s="6">
        <f>IF(OR(O200="",E200=""),"",(O200-E200)/O200)</f>
        <v/>
      </c>
      <c r="X200" s="6">
        <f>IF(OR(Q200="",E200=""),"",(Q200-E200)/Q200)</f>
        <v/>
      </c>
      <c r="Y200" s="6">
        <f>IF(OR(S200="",E200=""),"",((S200*3500)-E200)/(S200*3500))</f>
        <v/>
      </c>
      <c r="Z200" s="7" t="n"/>
    </row>
    <row r="201">
      <c r="A201" s="2" t="inlineStr">
        <is>
          <t>LA EMPERATRIZ</t>
        </is>
      </c>
      <c r="B201" s="2" t="inlineStr">
        <is>
          <t>VENUS T-SHIRT</t>
        </is>
      </c>
      <c r="C201" s="2" t="inlineStr">
        <is>
          <t>27TSH20/VENS</t>
        </is>
      </c>
      <c r="D201" s="2" t="n">
        <v>8000</v>
      </c>
      <c r="E201" s="3" t="n">
        <v>35411.6</v>
      </c>
      <c r="F201" s="4" t="n">
        <v>10185.03125</v>
      </c>
      <c r="G201" s="3">
        <f>IF(OR(E201="",F201=""),"",E201+F201)</f>
        <v/>
      </c>
      <c r="H201" s="3" t="n">
        <v>54259.9911875</v>
      </c>
      <c r="I201" s="3" t="n">
        <v>135649.97796875</v>
      </c>
      <c r="J201" s="3" t="n">
        <v>129900</v>
      </c>
      <c r="K201" s="3" t="n">
        <v>60037.81512605043</v>
      </c>
      <c r="L201" s="5" t="n">
        <v>0.2405348003709148</v>
      </c>
      <c r="M201" s="3" t="n">
        <v>76411.76470588235</v>
      </c>
      <c r="N201" s="5" t="n">
        <v>0.4032773431485758</v>
      </c>
      <c r="O201" s="3" t="n">
        <v>129238.76</v>
      </c>
      <c r="P201" s="5" t="n">
        <v>0.6471907402237532</v>
      </c>
      <c r="Q201" s="3" t="n">
        <v>90439.99999999999</v>
      </c>
      <c r="R201" s="5" t="n">
        <v>0.4958355677797434</v>
      </c>
      <c r="S201" s="3" t="n">
        <v>88.40000000000001</v>
      </c>
      <c r="T201" s="5" t="n">
        <v>0.8642634220945464</v>
      </c>
      <c r="U201" s="6">
        <f>IF(OR(K201="",E201=""),"",(K201-E201)/K201)</f>
        <v/>
      </c>
      <c r="V201" s="6">
        <f>IF(OR(M201="",E201=""),"",(M201-E201)/M201)</f>
        <v/>
      </c>
      <c r="W201" s="6">
        <f>IF(OR(O201="",E201=""),"",(O201-E201)/O201)</f>
        <v/>
      </c>
      <c r="X201" s="6">
        <f>IF(OR(Q201="",E201=""),"",(Q201-E201)/Q201)</f>
        <v/>
      </c>
      <c r="Y201" s="6">
        <f>IF(OR(S201="",E201=""),"",((S201*3500)-E201)/(S201*3500))</f>
        <v/>
      </c>
      <c r="Z201" s="7" t="n"/>
    </row>
    <row r="202">
      <c r="A202" s="2" t="inlineStr">
        <is>
          <t>LA EMPERATRIZ</t>
        </is>
      </c>
      <c r="B202" s="2" t="inlineStr">
        <is>
          <t>VENUS MESH LONG DRESS</t>
        </is>
      </c>
      <c r="C202" s="2" t="inlineStr">
        <is>
          <t>27VE36/VENS</t>
        </is>
      </c>
      <c r="D202" s="2" t="n">
        <v>8000</v>
      </c>
      <c r="E202" s="3" t="n">
        <v>49635.625</v>
      </c>
      <c r="F202" s="4" t="n">
        <v>10185.03125</v>
      </c>
      <c r="G202" s="3">
        <f>IF(OR(E202="",F202=""),"",E202+F202)</f>
        <v/>
      </c>
      <c r="H202" s="3" t="n">
        <v>71186.5809375</v>
      </c>
      <c r="I202" s="3" t="n">
        <v>177966.45234375</v>
      </c>
      <c r="J202" s="3" t="n">
        <v>169900</v>
      </c>
      <c r="K202" s="3" t="n">
        <v>78525.21008403362</v>
      </c>
      <c r="L202" s="5" t="n">
        <v>0.2381980744020548</v>
      </c>
      <c r="M202" s="3" t="n">
        <v>99941.17647058824</v>
      </c>
      <c r="N202" s="5" t="n">
        <v>0.401441344173043</v>
      </c>
      <c r="O202" s="3" t="n">
        <v>182454.72</v>
      </c>
      <c r="P202" s="5" t="n">
        <v>0.6721342355517028</v>
      </c>
      <c r="Q202" s="3" t="n">
        <v>127680</v>
      </c>
      <c r="R202" s="5" t="n">
        <v>0.5314798226033834</v>
      </c>
      <c r="S202" s="3" t="n">
        <v>124.8</v>
      </c>
      <c r="T202" s="5" t="n">
        <v>0.8738599522393725</v>
      </c>
      <c r="U202" s="6">
        <f>IF(OR(K202="",E202=""),"",(K202-E202)/K202)</f>
        <v/>
      </c>
      <c r="V202" s="6">
        <f>IF(OR(M202="",E202=""),"",(M202-E202)/M202)</f>
        <v/>
      </c>
      <c r="W202" s="6">
        <f>IF(OR(O202="",E202=""),"",(O202-E202)/O202)</f>
        <v/>
      </c>
      <c r="X202" s="6">
        <f>IF(OR(Q202="",E202=""),"",(Q202-E202)/Q202)</f>
        <v/>
      </c>
      <c r="Y202" s="6">
        <f>IF(OR(S202="",E202=""),"",((S202*3500)-E202)/(S202*3500))</f>
        <v/>
      </c>
      <c r="Z202" s="7" t="n"/>
    </row>
    <row r="203">
      <c r="A203" s="2" t="inlineStr">
        <is>
          <t>LA EMPERATRIZ</t>
        </is>
      </c>
      <c r="B203" s="2" t="inlineStr">
        <is>
          <t>VENUS MESH LONG SHIRT</t>
        </is>
      </c>
      <c r="C203" s="2" t="inlineStr">
        <is>
          <t>27CA32/VENS</t>
        </is>
      </c>
      <c r="D203" s="2" t="n">
        <v>8000</v>
      </c>
      <c r="E203" s="3" t="n">
        <v>26982</v>
      </c>
      <c r="F203" s="4" t="n">
        <v>10185.03125</v>
      </c>
      <c r="G203" s="3">
        <f>IF(OR(E203="",F203=""),"",E203+F203)</f>
        <v/>
      </c>
      <c r="H203" s="3" t="n">
        <v>44228.7671875</v>
      </c>
      <c r="I203" s="3" t="n">
        <v>110571.91796875</v>
      </c>
      <c r="J203" s="3" t="n">
        <v>119900</v>
      </c>
      <c r="K203" s="3" t="n">
        <v>55415.96638655462</v>
      </c>
      <c r="L203" s="5" t="n">
        <v>0.3293082540374555</v>
      </c>
      <c r="M203" s="3" t="n">
        <v>70529.41176470587</v>
      </c>
      <c r="N203" s="5" t="n">
        <v>0.4730279138865721</v>
      </c>
      <c r="O203" s="3" t="n">
        <v>114034.2</v>
      </c>
      <c r="P203" s="5" t="n">
        <v>0.6740711887310999</v>
      </c>
      <c r="Q203" s="3" t="n">
        <v>79800</v>
      </c>
      <c r="R203" s="5" t="n">
        <v>0.5342477286967419</v>
      </c>
      <c r="S203" s="3" t="n">
        <v>78</v>
      </c>
      <c r="T203" s="5" t="n">
        <v>0.8746051577260459</v>
      </c>
      <c r="U203" s="6">
        <f>IF(OR(K203="",E203=""),"",(K203-E203)/K203)</f>
        <v/>
      </c>
      <c r="V203" s="6">
        <f>IF(OR(M203="",E203=""),"",(M203-E203)/M203)</f>
        <v/>
      </c>
      <c r="W203" s="6">
        <f>IF(OR(O203="",E203=""),"",(O203-E203)/O203)</f>
        <v/>
      </c>
      <c r="X203" s="6">
        <f>IF(OR(Q203="",E203=""),"",(Q203-E203)/Q203)</f>
        <v/>
      </c>
      <c r="Y203" s="6">
        <f>IF(OR(S203="",E203=""),"",((S203*3500)-E203)/(S203*3500))</f>
        <v/>
      </c>
      <c r="Z203" s="7" t="n"/>
    </row>
    <row r="204">
      <c r="A204" s="2" t="inlineStr">
        <is>
          <t>LA EMPERATRIZ</t>
        </is>
      </c>
      <c r="B204" s="2" t="inlineStr">
        <is>
          <t>VENUS MESH SHIRT</t>
        </is>
      </c>
      <c r="C204" s="2" t="inlineStr">
        <is>
          <t>27CA36/VENS</t>
        </is>
      </c>
      <c r="D204" s="2" t="n">
        <v>8000</v>
      </c>
      <c r="E204" s="3" t="n">
        <v>30229.34408602151</v>
      </c>
      <c r="F204" s="4" t="n">
        <v>10185.03125</v>
      </c>
      <c r="G204" s="3">
        <f>IF(OR(E204="",F204=""),"",E204+F204)</f>
        <v/>
      </c>
      <c r="H204" s="3" t="n">
        <v>48093.10664986559</v>
      </c>
      <c r="I204" s="3" t="n">
        <v>120232.766624664</v>
      </c>
      <c r="J204" s="3" t="n">
        <v>129900</v>
      </c>
      <c r="K204" s="3" t="n">
        <v>60037.81512605043</v>
      </c>
      <c r="L204" s="5" t="n">
        <v>0.3268513310957298</v>
      </c>
      <c r="M204" s="3" t="n">
        <v>76411.76470588235</v>
      </c>
      <c r="N204" s="5" t="n">
        <v>0.4710974744323591</v>
      </c>
      <c r="O204" s="3" t="n">
        <v>144443.32</v>
      </c>
      <c r="P204" s="5" t="n">
        <v>0.7202059926618862</v>
      </c>
      <c r="Q204" s="3" t="n">
        <v>101080</v>
      </c>
      <c r="R204" s="5" t="n">
        <v>0.6001743635138355</v>
      </c>
      <c r="S204" s="3" t="n">
        <v>98.8</v>
      </c>
      <c r="T204" s="5" t="n">
        <v>0.8923546363306479</v>
      </c>
      <c r="U204" s="6">
        <f>IF(OR(K204="",E204=""),"",(K204-E204)/K204)</f>
        <v/>
      </c>
      <c r="V204" s="6">
        <f>IF(OR(M204="",E204=""),"",(M204-E204)/M204)</f>
        <v/>
      </c>
      <c r="W204" s="6">
        <f>IF(OR(O204="",E204=""),"",(O204-E204)/O204)</f>
        <v/>
      </c>
      <c r="X204" s="6">
        <f>IF(OR(Q204="",E204=""),"",(Q204-E204)/Q204)</f>
        <v/>
      </c>
      <c r="Y204" s="6">
        <f>IF(OR(S204="",E204=""),"",((S204*3500)-E204)/(S204*3500))</f>
        <v/>
      </c>
      <c r="Z204" s="7" t="n"/>
    </row>
    <row r="205">
      <c r="A205" s="2" t="inlineStr">
        <is>
          <t>LA EMPERATRIZ</t>
        </is>
      </c>
      <c r="B205" s="2" t="inlineStr">
        <is>
          <t>VENUS WRAP SKORT</t>
        </is>
      </c>
      <c r="C205" s="2" t="inlineStr">
        <is>
          <t>27FA25/VENS</t>
        </is>
      </c>
      <c r="D205" s="2" t="n">
        <v>8000</v>
      </c>
      <c r="E205" s="3" t="n">
        <v>36274</v>
      </c>
      <c r="F205" s="4" t="n">
        <v>10185.03125</v>
      </c>
      <c r="G205" s="3">
        <f>IF(OR(E205="",F205=""),"",E205+F205)</f>
        <v/>
      </c>
      <c r="H205" s="3" t="n">
        <v>55286.2471875</v>
      </c>
      <c r="I205" s="3" t="n">
        <v>138215.61796875</v>
      </c>
      <c r="J205" s="3" t="n">
        <v>139900</v>
      </c>
      <c r="K205" s="3" t="n">
        <v>64659.66386554623</v>
      </c>
      <c r="L205" s="5" t="n">
        <v>0.2814835637468323</v>
      </c>
      <c r="M205" s="3" t="n">
        <v>82294.11764705883</v>
      </c>
      <c r="N205" s="5" t="n">
        <v>0.4354513715153681</v>
      </c>
      <c r="O205" s="3" t="n">
        <v>167250.16</v>
      </c>
      <c r="P205" s="5" t="n">
        <v>0.7222183150676806</v>
      </c>
      <c r="Q205" s="3" t="n">
        <v>117040</v>
      </c>
      <c r="R205" s="5" t="n">
        <v>0.6030499722317156</v>
      </c>
      <c r="S205" s="3" t="n">
        <v>114.4</v>
      </c>
      <c r="T205" s="5" t="n">
        <v>0.8931288386777696</v>
      </c>
      <c r="U205" s="6">
        <f>IF(OR(K205="",E205=""),"",(K205-E205)/K205)</f>
        <v/>
      </c>
      <c r="V205" s="6">
        <f>IF(OR(M205="",E205=""),"",(M205-E205)/M205)</f>
        <v/>
      </c>
      <c r="W205" s="6">
        <f>IF(OR(O205="",E205=""),"",(O205-E205)/O205)</f>
        <v/>
      </c>
      <c r="X205" s="6">
        <f>IF(OR(Q205="",E205=""),"",(Q205-E205)/Q205)</f>
        <v/>
      </c>
      <c r="Y205" s="6">
        <f>IF(OR(S205="",E205=""),"",((S205*3500)-E205)/(S205*3500))</f>
        <v/>
      </c>
      <c r="Z205" s="7" t="n"/>
    </row>
    <row r="206">
      <c r="A206" s="2" t="inlineStr">
        <is>
          <t>LA EMPERATRIZ</t>
        </is>
      </c>
      <c r="B206" s="2" t="inlineStr">
        <is>
          <t>VENUS SLEEP SLEEVELESS SHIRT</t>
        </is>
      </c>
      <c r="C206" s="2" t="inlineStr">
        <is>
          <t>274124/VENS</t>
        </is>
      </c>
      <c r="D206" s="2" t="n">
        <v>8000</v>
      </c>
      <c r="E206" s="3" t="n">
        <v>18336.66</v>
      </c>
      <c r="F206" s="4" t="n">
        <v>10185.03125</v>
      </c>
      <c r="G206" s="3">
        <f>IF(OR(E206="",F206=""),"",E206+F206)</f>
        <v/>
      </c>
      <c r="H206" s="3" t="n">
        <v>33940.8125875</v>
      </c>
      <c r="I206" s="3" t="n">
        <v>84852.03146874999</v>
      </c>
      <c r="J206" s="3" t="n">
        <v>79950</v>
      </c>
      <c r="K206" s="3" t="n">
        <v>36951.68067226891</v>
      </c>
      <c r="L206" s="5" t="n">
        <v>0.2281354804138952</v>
      </c>
      <c r="M206" s="3" t="n">
        <v>47029.41176470588</v>
      </c>
      <c r="N206" s="5" t="n">
        <v>0.3935350203252032</v>
      </c>
      <c r="O206" s="3" t="n">
        <v>49414.82</v>
      </c>
      <c r="P206" s="5" t="n">
        <v>0.4228109856516729</v>
      </c>
      <c r="Q206" s="3" t="n">
        <v>34580</v>
      </c>
      <c r="R206" s="5" t="n">
        <v>0.1751968984962406</v>
      </c>
      <c r="S206" s="3" t="n">
        <v>33.8</v>
      </c>
      <c r="T206" s="5" t="n">
        <v>0.7779376265182186</v>
      </c>
      <c r="U206" s="6">
        <f>IF(OR(K206="",E206=""),"",(K206-E206)/K206)</f>
        <v/>
      </c>
      <c r="V206" s="6">
        <f>IF(OR(M206="",E206=""),"",(M206-E206)/M206)</f>
        <v/>
      </c>
      <c r="W206" s="6">
        <f>IF(OR(O206="",E206=""),"",(O206-E206)/O206)</f>
        <v/>
      </c>
      <c r="X206" s="6">
        <f>IF(OR(Q206="",E206=""),"",(Q206-E206)/Q206)</f>
        <v/>
      </c>
      <c r="Y206" s="6">
        <f>IF(OR(S206="",E206=""),"",((S206*3500)-E206)/(S206*3500))</f>
        <v/>
      </c>
      <c r="Z206" s="7" t="n"/>
    </row>
    <row r="207">
      <c r="A207" s="2" t="inlineStr">
        <is>
          <t>LA EMPERATRIZ</t>
        </is>
      </c>
      <c r="B207" s="2" t="inlineStr">
        <is>
          <t>VENUS SLEEP SHORT</t>
        </is>
      </c>
      <c r="C207" s="2" t="inlineStr">
        <is>
          <t>274222/VENS</t>
        </is>
      </c>
      <c r="D207" s="2" t="n">
        <v>8000</v>
      </c>
      <c r="E207" s="3" t="n">
        <v>18737.81</v>
      </c>
      <c r="F207" s="4" t="n">
        <v>10185.03125</v>
      </c>
      <c r="G207" s="3">
        <f>IF(OR(E207="",F207=""),"",E207+F207)</f>
        <v/>
      </c>
      <c r="H207" s="3" t="n">
        <v>34418.1810875</v>
      </c>
      <c r="I207" s="3" t="n">
        <v>86045.45271874999</v>
      </c>
      <c r="J207" s="3" t="n">
        <v>99950</v>
      </c>
      <c r="K207" s="3" t="n">
        <v>46195.37815126051</v>
      </c>
      <c r="L207" s="5" t="n">
        <v>0.373901840238301</v>
      </c>
      <c r="M207" s="3" t="n">
        <v>58794.11764705882</v>
      </c>
      <c r="N207" s="5" t="n">
        <v>0.5080657316158078</v>
      </c>
      <c r="O207" s="3" t="n">
        <v>49414.82</v>
      </c>
      <c r="P207" s="5" t="n">
        <v>0.4146929757105257</v>
      </c>
      <c r="Q207" s="3" t="n">
        <v>34580</v>
      </c>
      <c r="R207" s="5" t="n">
        <v>0.1635962622903412</v>
      </c>
      <c r="S207" s="3" t="n">
        <v>33.8</v>
      </c>
      <c r="T207" s="5" t="n">
        <v>0.7748143783089381</v>
      </c>
      <c r="U207" s="6">
        <f>IF(OR(K207="",E207=""),"",(K207-E207)/K207)</f>
        <v/>
      </c>
      <c r="V207" s="6">
        <f>IF(OR(M207="",E207=""),"",(M207-E207)/M207)</f>
        <v/>
      </c>
      <c r="W207" s="6">
        <f>IF(OR(O207="",E207=""),"",(O207-E207)/O207)</f>
        <v/>
      </c>
      <c r="X207" s="6">
        <f>IF(OR(Q207="",E207=""),"",(Q207-E207)/Q207)</f>
        <v/>
      </c>
      <c r="Y207" s="6">
        <f>IF(OR(S207="",E207=""),"",((S207*3500)-E207)/(S207*3500))</f>
        <v/>
      </c>
      <c r="Z207" s="7" t="n"/>
    </row>
    <row r="208">
      <c r="A208" s="2" t="inlineStr">
        <is>
          <t>LA EMPERATRIZ</t>
        </is>
      </c>
      <c r="B208" s="2" t="inlineStr">
        <is>
          <t>VENUS SLEEP LONG SHIRT</t>
        </is>
      </c>
      <c r="C208" s="2" t="inlineStr">
        <is>
          <t>274121/VENS</t>
        </is>
      </c>
      <c r="D208" s="2" t="n">
        <v>8000</v>
      </c>
      <c r="E208" s="3" t="n">
        <v>32611.31</v>
      </c>
      <c r="F208" s="4" t="n">
        <v>10185.03125</v>
      </c>
      <c r="G208" s="3">
        <f>IF(OR(E208="",F208=""),"",E208+F208)</f>
        <v/>
      </c>
      <c r="H208" s="3" t="n">
        <v>50927.6460875</v>
      </c>
      <c r="I208" s="3" t="n">
        <v>127319.11521875</v>
      </c>
      <c r="J208" s="3" t="n">
        <v>99950</v>
      </c>
      <c r="K208" s="3" t="n">
        <v>46195.37815126051</v>
      </c>
      <c r="L208" s="5" t="n">
        <v>0.07357958820319273</v>
      </c>
      <c r="M208" s="3" t="n">
        <v>58794.11764705882</v>
      </c>
      <c r="N208" s="5" t="n">
        <v>0.2720982478739369</v>
      </c>
      <c r="O208" s="3" t="n">
        <v>244359</v>
      </c>
      <c r="P208" s="5" t="n">
        <v>0.8248628401245708</v>
      </c>
      <c r="Q208" s="3" t="n">
        <v>171000</v>
      </c>
      <c r="R208" s="5" t="n">
        <v>0.7497289985380117</v>
      </c>
      <c r="S208" s="3" t="n">
        <v>44.2</v>
      </c>
      <c r="T208" s="5" t="n">
        <v>0.7451992066563468</v>
      </c>
      <c r="U208" s="6">
        <f>IF(OR(K208="",E208=""),"",(K208-E208)/K208)</f>
        <v/>
      </c>
      <c r="V208" s="6">
        <f>IF(OR(M208="",E208=""),"",(M208-E208)/M208)</f>
        <v/>
      </c>
      <c r="W208" s="6">
        <f>IF(OR(O208="",E208=""),"",(O208-E208)/O208)</f>
        <v/>
      </c>
      <c r="X208" s="6">
        <f>IF(OR(Q208="",E208=""),"",(Q208-E208)/Q208)</f>
        <v/>
      </c>
      <c r="Y208" s="6">
        <f>IF(OR(S208="",E208=""),"",((S208*3500)-E208)/(S208*3500))</f>
        <v/>
      </c>
      <c r="Z208" s="7" t="n"/>
    </row>
    <row r="209">
      <c r="A209" s="2" t="inlineStr">
        <is>
          <t>LA EMPERATRIZ</t>
        </is>
      </c>
      <c r="B209" s="2" t="inlineStr">
        <is>
          <t>VENUS SLEEP PANTS</t>
        </is>
      </c>
      <c r="C209" s="2" t="inlineStr">
        <is>
          <t>274323/VENS</t>
        </is>
      </c>
      <c r="D209" s="2" t="n">
        <v>8000</v>
      </c>
      <c r="E209" s="3" t="n">
        <v>28786.53</v>
      </c>
      <c r="F209" s="4" t="n">
        <v>10185.03125</v>
      </c>
      <c r="G209" s="3">
        <f>IF(OR(E209="",F209=""),"",E209+F209)</f>
        <v/>
      </c>
      <c r="H209" s="3" t="n">
        <v>46376.1578875</v>
      </c>
      <c r="I209" s="3" t="n">
        <v>115940.39471875</v>
      </c>
      <c r="J209" s="3" t="n">
        <v>99950</v>
      </c>
      <c r="K209" s="3" t="n">
        <v>46195.37815126051</v>
      </c>
      <c r="L209" s="5" t="n">
        <v>0.1563753169766703</v>
      </c>
      <c r="M209" s="3" t="n">
        <v>58794.11764705882</v>
      </c>
      <c r="N209" s="5" t="n">
        <v>0.3371520347673836</v>
      </c>
      <c r="O209" s="3" t="n">
        <v>206347.6</v>
      </c>
      <c r="P209" s="5" t="n">
        <v>0.8111363483268039</v>
      </c>
      <c r="Q209" s="3" t="n">
        <v>144400</v>
      </c>
      <c r="R209" s="5" t="n">
        <v>0.7301138417590027</v>
      </c>
      <c r="S209" s="3" t="n">
        <v>39</v>
      </c>
      <c r="T209" s="5" t="n">
        <v>0.7370339996626181</v>
      </c>
      <c r="U209" s="6">
        <f>IF(OR(K209="",E209=""),"",(K209-E209)/K209)</f>
        <v/>
      </c>
      <c r="V209" s="6">
        <f>IF(OR(M209="",E209=""),"",(M209-E209)/M209)</f>
        <v/>
      </c>
      <c r="W209" s="6">
        <f>IF(OR(O209="",E209=""),"",(O209-E209)/O209)</f>
        <v/>
      </c>
      <c r="X209" s="6">
        <f>IF(OR(Q209="",E209=""),"",(Q209-E209)/Q209)</f>
        <v/>
      </c>
      <c r="Y209" s="6">
        <f>IF(OR(S209="",E209=""),"",((S209*3500)-E209)/(S209*3500))</f>
        <v/>
      </c>
      <c r="Z209" s="7" t="n"/>
    </row>
    <row r="210">
      <c r="A210" s="2" t="inlineStr">
        <is>
          <t>LA EMPERATRIZ</t>
        </is>
      </c>
      <c r="B210" s="2" t="inlineStr">
        <is>
          <t>VENUS SLEEP SHORT SLEEVELESS SHIRT</t>
        </is>
      </c>
      <c r="C210" s="2" t="inlineStr">
        <is>
          <t>274125/VENS</t>
        </is>
      </c>
      <c r="D210" s="2" t="n">
        <v>8000</v>
      </c>
      <c r="E210" s="3" t="n">
        <v>21807.84375</v>
      </c>
      <c r="F210" s="4" t="n">
        <v>10185.03125</v>
      </c>
      <c r="G210" s="3">
        <f>IF(OR(E210="",F210=""),"",E210+F210)</f>
        <v/>
      </c>
      <c r="H210" s="3" t="n">
        <v>38071.52125</v>
      </c>
      <c r="I210" s="3" t="n">
        <v>95178.80312499999</v>
      </c>
      <c r="J210" s="3" t="n">
        <v>89950</v>
      </c>
      <c r="K210" s="3" t="n">
        <v>41573.52941176471</v>
      </c>
      <c r="L210" s="5" t="n">
        <v>0.2304508312698976</v>
      </c>
      <c r="M210" s="3" t="n">
        <v>52911.76470588235</v>
      </c>
      <c r="N210" s="5" t="n">
        <v>0.395354224569205</v>
      </c>
      <c r="O210" s="3" t="n">
        <v>53215.95999999999</v>
      </c>
      <c r="P210" s="5" t="n">
        <v>0.3988105260151277</v>
      </c>
      <c r="Q210" s="3" t="n">
        <v>37239.99999999999</v>
      </c>
      <c r="R210" s="5" t="n">
        <v>0.1409002416756175</v>
      </c>
      <c r="S210" s="3" t="n">
        <v>36.4</v>
      </c>
      <c r="T210" s="5" t="n">
        <v>0.7687039112203586</v>
      </c>
      <c r="U210" s="6">
        <f>IF(OR(K210="",E210=""),"",(K210-E210)/K210)</f>
        <v/>
      </c>
      <c r="V210" s="6">
        <f>IF(OR(M210="",E210=""),"",(M210-E210)/M210)</f>
        <v/>
      </c>
      <c r="W210" s="6">
        <f>IF(OR(O210="",E210=""),"",(O210-E210)/O210)</f>
        <v/>
      </c>
      <c r="X210" s="6">
        <f>IF(OR(Q210="",E210=""),"",(Q210-E210)/Q210)</f>
        <v/>
      </c>
      <c r="Y210" s="6">
        <f>IF(OR(S210="",E210=""),"",((S210*3500)-E210)/(S210*3500))</f>
        <v/>
      </c>
      <c r="Z210" s="7" t="n"/>
    </row>
    <row r="211">
      <c r="A211" s="2" t="inlineStr">
        <is>
          <t>LA EMPERATRIZ</t>
        </is>
      </c>
      <c r="B211" s="2" t="inlineStr">
        <is>
          <t>I'M BURGUNDY MESH DOUBLE STRAP TRIANGLE TOP</t>
        </is>
      </c>
      <c r="C211" s="2" t="inlineStr">
        <is>
          <t>273178/BURG</t>
        </is>
      </c>
      <c r="D211" s="2" t="n">
        <v>8000</v>
      </c>
      <c r="E211" s="3" t="n">
        <v>31204</v>
      </c>
      <c r="F211" s="4" t="n">
        <v>10185.03125</v>
      </c>
      <c r="G211" s="3">
        <f>IF(OR(E211="",F211=""),"",E211+F211)</f>
        <v/>
      </c>
      <c r="H211" s="3" t="n">
        <v>49252.94718749999</v>
      </c>
      <c r="I211" s="3" t="n">
        <v>123132.36796875</v>
      </c>
      <c r="J211" s="3" t="n">
        <v>129900</v>
      </c>
      <c r="K211" s="3" t="n">
        <v>60037.81512605043</v>
      </c>
      <c r="L211" s="5" t="n">
        <v>0.3106172973965989</v>
      </c>
      <c r="M211" s="3" t="n">
        <v>76411.76470588235</v>
      </c>
      <c r="N211" s="5" t="n">
        <v>0.4583421622401848</v>
      </c>
      <c r="O211" s="3" t="n">
        <v>121636.48</v>
      </c>
      <c r="P211" s="5" t="n">
        <v>0.6597317576930869</v>
      </c>
      <c r="Q211" s="3" t="n">
        <v>85120</v>
      </c>
      <c r="R211" s="5" t="n">
        <v>0.513756681743421</v>
      </c>
      <c r="S211" s="3" t="n">
        <v>83.2</v>
      </c>
      <c r="T211" s="5" t="n">
        <v>0.8690883373924595</v>
      </c>
      <c r="U211" s="6">
        <f>IF(OR(K211="",E211=""),"",(K211-E211)/K211)</f>
        <v/>
      </c>
      <c r="V211" s="6">
        <f>IF(OR(M211="",E211=""),"",(M211-E211)/M211)</f>
        <v/>
      </c>
      <c r="W211" s="6">
        <f>IF(OR(O211="",E211=""),"",(O211-E211)/O211)</f>
        <v/>
      </c>
      <c r="X211" s="6">
        <f>IF(OR(Q211="",E211=""),"",(Q211-E211)/Q211)</f>
        <v/>
      </c>
      <c r="Y211" s="6">
        <f>IF(OR(S211="",E211=""),"",((S211*3500)-E211)/(S211*3500))</f>
        <v/>
      </c>
      <c r="Z211" s="7" t="n"/>
    </row>
    <row r="212">
      <c r="A212" s="2" t="inlineStr">
        <is>
          <t>LA EMPERATRIZ</t>
        </is>
      </c>
      <c r="B212" s="2" t="inlineStr">
        <is>
          <t>I'M BURGUNDY MESH STRAP TIE SIDE BOTTOM</t>
        </is>
      </c>
      <c r="C212" s="2" t="inlineStr">
        <is>
          <t>273243/BURG</t>
        </is>
      </c>
      <c r="D212" s="2" t="n">
        <v>8000</v>
      </c>
      <c r="E212" s="3" t="n">
        <v>28402.929105</v>
      </c>
      <c r="F212" s="4" t="n">
        <v>10185.03125</v>
      </c>
      <c r="G212" s="3">
        <f>IF(OR(E212="",F212=""),"",E212+F212)</f>
        <v/>
      </c>
      <c r="H212" s="3" t="n">
        <v>45919.67282245</v>
      </c>
      <c r="I212" s="3" t="n">
        <v>114799.182056125</v>
      </c>
      <c r="J212" s="3" t="n">
        <v>119900</v>
      </c>
      <c r="K212" s="3" t="n">
        <v>55415.96638655462</v>
      </c>
      <c r="L212" s="5" t="n">
        <v>0.3036671040647509</v>
      </c>
      <c r="M212" s="3" t="n">
        <v>70529.41176470587</v>
      </c>
      <c r="N212" s="5" t="n">
        <v>0.4528812960508756</v>
      </c>
      <c r="O212" s="3" t="n">
        <v>106431.92</v>
      </c>
      <c r="P212" s="5" t="n">
        <v>0.6374399676807483</v>
      </c>
      <c r="Q212" s="3" t="n">
        <v>74479.99999999999</v>
      </c>
      <c r="R212" s="5" t="n">
        <v>0.4819017138157893</v>
      </c>
      <c r="S212" s="3" t="n">
        <v>72.8</v>
      </c>
      <c r="T212" s="5" t="n">
        <v>0.8605119998734818</v>
      </c>
      <c r="U212" s="6">
        <f>IF(OR(K212="",E212=""),"",(K212-E212)/K212)</f>
        <v/>
      </c>
      <c r="V212" s="6">
        <f>IF(OR(M212="",E212=""),"",(M212-E212)/M212)</f>
        <v/>
      </c>
      <c r="W212" s="6">
        <f>IF(OR(O212="",E212=""),"",(O212-E212)/O212)</f>
        <v/>
      </c>
      <c r="X212" s="6">
        <f>IF(OR(Q212="",E212=""),"",(Q212-E212)/Q212)</f>
        <v/>
      </c>
      <c r="Y212" s="6">
        <f>IF(OR(S212="",E212=""),"",((S212*3500)-E212)/(S212*3500))</f>
        <v/>
      </c>
      <c r="Z212" s="7" t="n"/>
    </row>
    <row r="213">
      <c r="A213" s="2" t="inlineStr">
        <is>
          <t>LA EMPERATRIZ</t>
        </is>
      </c>
      <c r="B213" s="2" t="inlineStr">
        <is>
          <t>I'M BURGUNDY MESH HALTER STRAP ONE PIECE</t>
        </is>
      </c>
      <c r="C213" s="2" t="inlineStr">
        <is>
          <t>273375/BURG</t>
        </is>
      </c>
      <c r="D213" s="2" t="n">
        <v>8000</v>
      </c>
      <c r="E213" s="3" t="n">
        <v>52580.91</v>
      </c>
      <c r="F213" s="4" t="n">
        <v>10185.03125</v>
      </c>
      <c r="G213" s="3">
        <f>IF(OR(E213="",F213=""),"",E213+F213)</f>
        <v/>
      </c>
      <c r="H213" s="3" t="n">
        <v>74691.4700875</v>
      </c>
      <c r="I213" s="3" t="n">
        <v>186728.67521875</v>
      </c>
      <c r="J213" s="3" t="n">
        <v>199900</v>
      </c>
      <c r="K213" s="3" t="n">
        <v>92390.75630252103</v>
      </c>
      <c r="L213" s="5" t="n">
        <v>0.3206469590477057</v>
      </c>
      <c r="M213" s="3" t="n">
        <v>117588.2352941176</v>
      </c>
      <c r="N213" s="5" t="n">
        <v>0.4662226106803401</v>
      </c>
      <c r="O213" s="3" t="n">
        <v>209062.7</v>
      </c>
      <c r="P213" s="5" t="n">
        <v>0.6997745592590165</v>
      </c>
      <c r="Q213" s="3" t="n">
        <v>146300</v>
      </c>
      <c r="R213" s="5" t="n">
        <v>0.5709778451811346</v>
      </c>
      <c r="S213" s="3" t="n">
        <v>143</v>
      </c>
      <c r="T213" s="5" t="n">
        <v>0.8844940352410746</v>
      </c>
      <c r="U213" s="6">
        <f>IF(OR(K213="",E213=""),"",(K213-E213)/K213)</f>
        <v/>
      </c>
      <c r="V213" s="6">
        <f>IF(OR(M213="",E213=""),"",(M213-E213)/M213)</f>
        <v/>
      </c>
      <c r="W213" s="6">
        <f>IF(OR(O213="",E213=""),"",(O213-E213)/O213)</f>
        <v/>
      </c>
      <c r="X213" s="6">
        <f>IF(OR(Q213="",E213=""),"",(Q213-E213)/Q213)</f>
        <v/>
      </c>
      <c r="Y213" s="6">
        <f>IF(OR(S213="",E213=""),"",((S213*3500)-E213)/(S213*3500))</f>
        <v/>
      </c>
      <c r="Z213" s="7" t="n"/>
    </row>
    <row r="214">
      <c r="A214" s="2" t="inlineStr">
        <is>
          <t>LA EMPERATRIZ</t>
        </is>
      </c>
      <c r="B214" s="2" t="inlineStr">
        <is>
          <t>I'M BURGUNDY MACRAME KNIT DRESS</t>
        </is>
      </c>
      <c r="C214" s="2" t="inlineStr">
        <is>
          <t>27VE32/BURG</t>
        </is>
      </c>
      <c r="D214" s="2" t="n">
        <v>8000</v>
      </c>
      <c r="E214" s="3" t="n">
        <v>59360</v>
      </c>
      <c r="F214" s="4" t="n">
        <v>10185.03125</v>
      </c>
      <c r="G214" s="3">
        <f>IF(OR(E214="",F214=""),"",E214+F214)</f>
        <v/>
      </c>
      <c r="H214" s="3" t="n">
        <v>82758.5871875</v>
      </c>
      <c r="I214" s="3" t="n">
        <v>206896.46796875</v>
      </c>
      <c r="J214" s="3" t="n">
        <v>219900</v>
      </c>
      <c r="K214" s="3" t="n">
        <v>101634.4537815126</v>
      </c>
      <c r="L214" s="5" t="n">
        <v>0.315733703852991</v>
      </c>
      <c r="M214" s="3" t="n">
        <v>129352.9411764706</v>
      </c>
      <c r="N214" s="5" t="n">
        <v>0.462362195884493</v>
      </c>
      <c r="O214" s="3" t="n">
        <v>228068.4</v>
      </c>
      <c r="P214" s="5" t="n">
        <v>0.695069412290348</v>
      </c>
      <c r="Q214" s="3" t="n">
        <v>159600</v>
      </c>
      <c r="R214" s="5" t="n">
        <v>0.5642541901629072</v>
      </c>
      <c r="S214" s="3" t="n">
        <v>156</v>
      </c>
      <c r="T214" s="5" t="n">
        <v>0.882683820428475</v>
      </c>
      <c r="U214" s="6">
        <f>IF(OR(K214="",E214=""),"",(K214-E214)/K214)</f>
        <v/>
      </c>
      <c r="V214" s="6">
        <f>IF(OR(M214="",E214=""),"",(M214-E214)/M214)</f>
        <v/>
      </c>
      <c r="W214" s="6">
        <f>IF(OR(O214="",E214=""),"",(O214-E214)/O214)</f>
        <v/>
      </c>
      <c r="X214" s="6">
        <f>IF(OR(Q214="",E214=""),"",(Q214-E214)/Q214)</f>
        <v/>
      </c>
      <c r="Y214" s="6">
        <f>IF(OR(S214="",E214=""),"",((S214*3500)-E214)/(S214*3500))</f>
        <v/>
      </c>
      <c r="Z214" s="7" t="n"/>
    </row>
    <row r="215">
      <c r="A215" s="2" t="inlineStr">
        <is>
          <t>LA EMPERATRIZ</t>
        </is>
      </c>
      <c r="B215" s="2" t="inlineStr">
        <is>
          <t>I'M BURGUNDY MESH KNIT SHIRT</t>
        </is>
      </c>
      <c r="C215" s="2" t="inlineStr">
        <is>
          <t>27CA37/BURG</t>
        </is>
      </c>
      <c r="D215" s="2" t="n">
        <v>8000</v>
      </c>
      <c r="E215" s="3" t="n">
        <v>39513.2555555556</v>
      </c>
      <c r="F215" s="4" t="n">
        <v>10185.03125</v>
      </c>
      <c r="G215" s="3">
        <f>IF(OR(E215="",F215=""),"",E215+F215)</f>
        <v/>
      </c>
      <c r="H215" s="3" t="n">
        <v>59140.96129861117</v>
      </c>
      <c r="I215" s="3" t="n">
        <v>147852.4032465279</v>
      </c>
      <c r="J215" s="3" t="n">
        <v>149900</v>
      </c>
      <c r="K215" s="3" t="n">
        <v>69281.51260504202</v>
      </c>
      <c r="L215" s="5" t="n">
        <v>0.2826616374721188</v>
      </c>
      <c r="M215" s="3" t="n">
        <v>88176.4705882353</v>
      </c>
      <c r="N215" s="5" t="n">
        <v>0.4363770008709505</v>
      </c>
      <c r="O215" s="3" t="n">
        <v>152045.6</v>
      </c>
      <c r="P215" s="5" t="n">
        <v>0.6731356461117217</v>
      </c>
      <c r="Q215" s="3" t="n">
        <v>106400</v>
      </c>
      <c r="R215" s="5" t="n">
        <v>0.5329108382936504</v>
      </c>
      <c r="S215" s="3" t="n">
        <v>104</v>
      </c>
      <c r="T215" s="5" t="n">
        <v>0.8742452256944444</v>
      </c>
      <c r="U215" s="6">
        <f>IF(OR(K215="",E215=""),"",(K215-E215)/K215)</f>
        <v/>
      </c>
      <c r="V215" s="6">
        <f>IF(OR(M215="",E215=""),"",(M215-E215)/M215)</f>
        <v/>
      </c>
      <c r="W215" s="6">
        <f>IF(OR(O215="",E215=""),"",(O215-E215)/O215)</f>
        <v/>
      </c>
      <c r="X215" s="6">
        <f>IF(OR(Q215="",E215=""),"",(Q215-E215)/Q215)</f>
        <v/>
      </c>
      <c r="Y215" s="6">
        <f>IF(OR(S215="",E215=""),"",((S215*3500)-E215)/(S215*3500))</f>
        <v/>
      </c>
      <c r="Z215" s="7" t="n"/>
    </row>
    <row r="216">
      <c r="A216" s="2" t="inlineStr">
        <is>
          <t>LA EMPERATRIZ</t>
        </is>
      </c>
      <c r="B216" s="2" t="inlineStr">
        <is>
          <t>I'M BURGUNDY MESH KNIT PANTS</t>
        </is>
      </c>
      <c r="C216" s="2" t="inlineStr">
        <is>
          <t>27PA26/BURG</t>
        </is>
      </c>
      <c r="D216" s="2" t="n">
        <v>8000</v>
      </c>
      <c r="E216" s="3" t="n">
        <v>47192.70193548387</v>
      </c>
      <c r="F216" s="4" t="n">
        <v>10185.03125</v>
      </c>
      <c r="G216" s="3">
        <f>IF(OR(E216="",F216=""),"",E216+F216)</f>
        <v/>
      </c>
      <c r="H216" s="3" t="n">
        <v>68279.5024907258</v>
      </c>
      <c r="I216" s="3" t="n">
        <v>170698.7562268145</v>
      </c>
      <c r="J216" s="3" t="n">
        <v>159900</v>
      </c>
      <c r="K216" s="3" t="n">
        <v>73903.36134453783</v>
      </c>
      <c r="L216" s="5" t="n">
        <v>0.2236113196801888</v>
      </c>
      <c r="M216" s="3" t="n">
        <v>94058.82352941176</v>
      </c>
      <c r="N216" s="5" t="n">
        <v>0.3899803226058625</v>
      </c>
      <c r="O216" s="3" t="n">
        <v>174852.44</v>
      </c>
      <c r="P216" s="5" t="n">
        <v>0.671850543318218</v>
      </c>
      <c r="Q216" s="3" t="n">
        <v>122360</v>
      </c>
      <c r="R216" s="5" t="n">
        <v>0.5310744264017336</v>
      </c>
      <c r="S216" s="3" t="n">
        <v>119.6</v>
      </c>
      <c r="T216" s="5" t="n">
        <v>0.873750807108159</v>
      </c>
      <c r="U216" s="6">
        <f>IF(OR(K216="",E216=""),"",(K216-E216)/K216)</f>
        <v/>
      </c>
      <c r="V216" s="6">
        <f>IF(OR(M216="",E216=""),"",(M216-E216)/M216)</f>
        <v/>
      </c>
      <c r="W216" s="6">
        <f>IF(OR(O216="",E216=""),"",(O216-E216)/O216)</f>
        <v/>
      </c>
      <c r="X216" s="6">
        <f>IF(OR(Q216="",E216=""),"",(Q216-E216)/Q216)</f>
        <v/>
      </c>
      <c r="Y216" s="6">
        <f>IF(OR(S216="",E216=""),"",((S216*3500)-E216)/(S216*3500))</f>
        <v/>
      </c>
      <c r="Z216" s="7" t="n"/>
    </row>
    <row r="217">
      <c r="A217" s="2" t="inlineStr">
        <is>
          <t>LA EMPERATRIZ</t>
        </is>
      </c>
      <c r="B217" s="2" t="inlineStr">
        <is>
          <t>I'M BURGUNDY MACRAME KNIT HALTER TOP</t>
        </is>
      </c>
      <c r="C217" s="2" t="inlineStr">
        <is>
          <t>27CA39/BURG</t>
        </is>
      </c>
      <c r="D217" s="2" t="n">
        <v>8000</v>
      </c>
      <c r="E217" s="3" t="n">
        <v>25774</v>
      </c>
      <c r="F217" s="4" t="n">
        <v>10185.03125</v>
      </c>
      <c r="G217" s="3">
        <f>IF(OR(E217="",F217=""),"",E217+F217)</f>
        <v/>
      </c>
      <c r="H217" s="3" t="n">
        <v>42791.2471875</v>
      </c>
      <c r="I217" s="3" t="n">
        <v>106978.11796875</v>
      </c>
      <c r="J217" s="3" t="n">
        <v>119900</v>
      </c>
      <c r="K217" s="3" t="n">
        <v>55415.96638655462</v>
      </c>
      <c r="L217" s="5" t="n">
        <v>0.3511070257411479</v>
      </c>
      <c r="M217" s="3" t="n">
        <v>70529.41176470587</v>
      </c>
      <c r="N217" s="5" t="n">
        <v>0.4901555202251876</v>
      </c>
      <c r="O217" s="3" t="n">
        <v>121636.48</v>
      </c>
      <c r="P217" s="5" t="n">
        <v>0.7043729705923749</v>
      </c>
      <c r="Q217" s="3" t="n">
        <v>85120</v>
      </c>
      <c r="R217" s="5" t="n">
        <v>0.5775489749765037</v>
      </c>
      <c r="S217" s="3" t="n">
        <v>83.2</v>
      </c>
      <c r="T217" s="5" t="n">
        <v>0.8862631855705971</v>
      </c>
      <c r="U217" s="6">
        <f>IF(OR(K217="",E217=""),"",(K217-E217)/K217)</f>
        <v/>
      </c>
      <c r="V217" s="6">
        <f>IF(OR(M217="",E217=""),"",(M217-E217)/M217)</f>
        <v/>
      </c>
      <c r="W217" s="6">
        <f>IF(OR(O217="",E217=""),"",(O217-E217)/O217)</f>
        <v/>
      </c>
      <c r="X217" s="6">
        <f>IF(OR(Q217="",E217=""),"",(Q217-E217)/Q217)</f>
        <v/>
      </c>
      <c r="Y217" s="6">
        <f>IF(OR(S217="",E217=""),"",((S217*3500)-E217)/(S217*3500))</f>
        <v/>
      </c>
      <c r="Z217" s="7" t="n"/>
    </row>
    <row r="218">
      <c r="A218" s="2" t="inlineStr">
        <is>
          <t>LA EMPERATRIZ</t>
        </is>
      </c>
      <c r="B218" s="2" t="inlineStr">
        <is>
          <t>I'M BURGUNDY MACRAME KNIT LONG SKIRT</t>
        </is>
      </c>
      <c r="C218" s="2" t="inlineStr">
        <is>
          <t>27FA27/BURG</t>
        </is>
      </c>
      <c r="D218" s="2" t="n">
        <v>8000</v>
      </c>
      <c r="E218" s="3" t="n">
        <v>45652</v>
      </c>
      <c r="F218" s="4" t="n">
        <v>10185.03125</v>
      </c>
      <c r="G218" s="3">
        <f>IF(OR(E218="",F218=""),"",E218+F218)</f>
        <v/>
      </c>
      <c r="H218" s="3" t="n">
        <v>66446.0671875</v>
      </c>
      <c r="I218" s="3" t="n">
        <v>166115.16796875</v>
      </c>
      <c r="J218" s="3" t="n">
        <v>159900</v>
      </c>
      <c r="K218" s="3" t="n">
        <v>73903.36134453783</v>
      </c>
      <c r="L218" s="5" t="n">
        <v>0.2444588414634148</v>
      </c>
      <c r="M218" s="3" t="n">
        <v>94058.82352941176</v>
      </c>
      <c r="N218" s="5" t="n">
        <v>0.4063605182926829</v>
      </c>
      <c r="O218" s="3" t="n">
        <v>190057</v>
      </c>
      <c r="P218" s="5" t="n">
        <v>0.7062090254502597</v>
      </c>
      <c r="Q218" s="3" t="n">
        <v>133000</v>
      </c>
      <c r="R218" s="5" t="n">
        <v>0.580172697368421</v>
      </c>
      <c r="S218" s="3" t="n">
        <v>130</v>
      </c>
      <c r="T218" s="5" t="n">
        <v>0.886969572368421</v>
      </c>
      <c r="U218" s="6">
        <f>IF(OR(K218="",E218=""),"",(K218-E218)/K218)</f>
        <v/>
      </c>
      <c r="V218" s="6">
        <f>IF(OR(M218="",E218=""),"",(M218-E218)/M218)</f>
        <v/>
      </c>
      <c r="W218" s="6">
        <f>IF(OR(O218="",E218=""),"",(O218-E218)/O218)</f>
        <v/>
      </c>
      <c r="X218" s="6">
        <f>IF(OR(Q218="",E218=""),"",(Q218-E218)/Q218)</f>
        <v/>
      </c>
      <c r="Y218" s="6">
        <f>IF(OR(S218="",E218=""),"",((S218*3500)-E218)/(S218*3500))</f>
        <v/>
      </c>
      <c r="Z218" s="7" t="n"/>
    </row>
    <row r="219">
      <c r="A219" s="2" t="inlineStr">
        <is>
          <t>LA EMPERATRIZ</t>
        </is>
      </c>
      <c r="B219" s="2" t="inlineStr">
        <is>
          <t>SOL Y LUNA TRIANGLE TOP</t>
        </is>
      </c>
      <c r="C219" s="2" t="inlineStr">
        <is>
          <t>273135/SOLN</t>
        </is>
      </c>
      <c r="D219" s="2" t="n">
        <v>8000</v>
      </c>
      <c r="E219" s="3" t="n">
        <v>30076</v>
      </c>
      <c r="F219" s="4" t="n">
        <v>10185.03125</v>
      </c>
      <c r="G219" s="3">
        <f>IF(OR(E219="",F219=""),"",E219+F219)</f>
        <v/>
      </c>
      <c r="H219" s="3" t="n">
        <v>47910.62718749999</v>
      </c>
      <c r="I219" s="3" t="n">
        <v>119776.56796875</v>
      </c>
      <c r="J219" s="3" t="n">
        <v>109900</v>
      </c>
      <c r="K219" s="3" t="n">
        <v>50794.11764705883</v>
      </c>
      <c r="L219" s="5" t="n">
        <v>0.2073682324840765</v>
      </c>
      <c r="M219" s="3" t="n">
        <v>64647.05882352941</v>
      </c>
      <c r="N219" s="5" t="n">
        <v>0.3772178969517743</v>
      </c>
      <c r="O219" s="3" t="n">
        <v>98829.64</v>
      </c>
      <c r="P219" s="5" t="n">
        <v>0.5926218971353129</v>
      </c>
      <c r="Q219" s="3" t="n">
        <v>69160</v>
      </c>
      <c r="R219" s="5" t="n">
        <v>0.4178566910063621</v>
      </c>
      <c r="S219" s="3" t="n">
        <v>67.60000000000001</v>
      </c>
      <c r="T219" s="5" t="n">
        <v>0.8432691091170975</v>
      </c>
      <c r="U219" s="6">
        <f>IF(OR(K219="",E219=""),"",(K219-E219)/K219)</f>
        <v/>
      </c>
      <c r="V219" s="6">
        <f>IF(OR(M219="",E219=""),"",(M219-E219)/M219)</f>
        <v/>
      </c>
      <c r="W219" s="6">
        <f>IF(OR(O219="",E219=""),"",(O219-E219)/O219)</f>
        <v/>
      </c>
      <c r="X219" s="6">
        <f>IF(OR(Q219="",E219=""),"",(Q219-E219)/Q219)</f>
        <v/>
      </c>
      <c r="Y219" s="6">
        <f>IF(OR(S219="",E219=""),"",((S219*3500)-E219)/(S219*3500))</f>
        <v/>
      </c>
      <c r="Z219" s="7" t="n"/>
    </row>
    <row r="220">
      <c r="A220" s="2" t="inlineStr">
        <is>
          <t>LA EMPERATRIZ</t>
        </is>
      </c>
      <c r="B220" s="2" t="inlineStr">
        <is>
          <t>SOL Y LUNA STRAP TIE SIDE BOTTOM</t>
        </is>
      </c>
      <c r="C220" s="2" t="inlineStr">
        <is>
          <t>273236/SOLN</t>
        </is>
      </c>
      <c r="D220" s="2" t="n">
        <v>8000</v>
      </c>
      <c r="E220" s="3" t="n">
        <v>31458</v>
      </c>
      <c r="F220" s="4" t="n">
        <v>10185.03125</v>
      </c>
      <c r="G220" s="3">
        <f>IF(OR(E220="",F220=""),"",E220+F220)</f>
        <v/>
      </c>
      <c r="H220" s="3" t="n">
        <v>49555.2071875</v>
      </c>
      <c r="I220" s="3" t="n">
        <v>123888.01796875</v>
      </c>
      <c r="J220" s="3" t="n">
        <v>119900</v>
      </c>
      <c r="K220" s="3" t="n">
        <v>55415.96638655462</v>
      </c>
      <c r="L220" s="5" t="n">
        <v>0.2485373085525817</v>
      </c>
      <c r="M220" s="3" t="n">
        <v>70529.41176470587</v>
      </c>
      <c r="N220" s="5" t="n">
        <v>0.409565028148457</v>
      </c>
      <c r="O220" s="3" t="n">
        <v>98829.64</v>
      </c>
      <c r="P220" s="5" t="n">
        <v>0.5786382379820467</v>
      </c>
      <c r="Q220" s="3" t="n">
        <v>69160</v>
      </c>
      <c r="R220" s="5" t="n">
        <v>0.3978740420763447</v>
      </c>
      <c r="S220" s="3" t="n">
        <v>67.60000000000001</v>
      </c>
      <c r="T220" s="5" t="n">
        <v>0.8378891651744005</v>
      </c>
      <c r="U220" s="6">
        <f>IF(OR(K220="",E220=""),"",(K220-E220)/K220)</f>
        <v/>
      </c>
      <c r="V220" s="6">
        <f>IF(OR(M220="",E220=""),"",(M220-E220)/M220)</f>
        <v/>
      </c>
      <c r="W220" s="6">
        <f>IF(OR(O220="",E220=""),"",(O220-E220)/O220)</f>
        <v/>
      </c>
      <c r="X220" s="6">
        <f>IF(OR(Q220="",E220=""),"",(Q220-E220)/Q220)</f>
        <v/>
      </c>
      <c r="Y220" s="6">
        <f>IF(OR(S220="",E220=""),"",((S220*3500)-E220)/(S220*3500))</f>
        <v/>
      </c>
      <c r="Z220" s="7" t="n"/>
    </row>
    <row r="221">
      <c r="A221" s="2" t="inlineStr">
        <is>
          <t>LA EMPERATRIZ</t>
        </is>
      </c>
      <c r="B221" s="2" t="inlineStr">
        <is>
          <t>SOL Y LUNA SPORTY TOP</t>
        </is>
      </c>
      <c r="C221" s="2" t="inlineStr">
        <is>
          <t>273145/SOLN</t>
        </is>
      </c>
      <c r="D221" s="2" t="n">
        <v>8000</v>
      </c>
      <c r="E221" s="3" t="n">
        <v>28675</v>
      </c>
      <c r="F221" s="4" t="n">
        <v>10185.03125</v>
      </c>
      <c r="G221" s="3">
        <f>IF(OR(E221="",F221=""),"",E221+F221)</f>
        <v/>
      </c>
      <c r="H221" s="3" t="n">
        <v>46243.4371875</v>
      </c>
      <c r="I221" s="3" t="n">
        <v>115608.59296875</v>
      </c>
      <c r="J221" s="3" t="n">
        <v>119900</v>
      </c>
      <c r="K221" s="3" t="n">
        <v>55415.96638655462</v>
      </c>
      <c r="L221" s="5" t="n">
        <v>0.2987574920388202</v>
      </c>
      <c r="M221" s="3" t="n">
        <v>70529.41176470587</v>
      </c>
      <c r="N221" s="5" t="n">
        <v>0.4490237437447873</v>
      </c>
      <c r="O221" s="3" t="n">
        <v>114034.2</v>
      </c>
      <c r="P221" s="5" t="n">
        <v>0.6592247654650973</v>
      </c>
      <c r="Q221" s="3" t="n">
        <v>79800</v>
      </c>
      <c r="R221" s="5" t="n">
        <v>0.5130321898496241</v>
      </c>
      <c r="S221" s="3" t="n">
        <v>78</v>
      </c>
      <c r="T221" s="5" t="n">
        <v>0.8688932818825911</v>
      </c>
      <c r="U221" s="6">
        <f>IF(OR(K221="",E221=""),"",(K221-E221)/K221)</f>
        <v/>
      </c>
      <c r="V221" s="6">
        <f>IF(OR(M221="",E221=""),"",(M221-E221)/M221)</f>
        <v/>
      </c>
      <c r="W221" s="6">
        <f>IF(OR(O221="",E221=""),"",(O221-E221)/O221)</f>
        <v/>
      </c>
      <c r="X221" s="6">
        <f>IF(OR(Q221="",E221=""),"",(Q221-E221)/Q221)</f>
        <v/>
      </c>
      <c r="Y221" s="6">
        <f>IF(OR(S221="",E221=""),"",((S221*3500)-E221)/(S221*3500))</f>
        <v/>
      </c>
      <c r="Z221" s="7" t="n"/>
    </row>
    <row r="222">
      <c r="A222" s="2" t="inlineStr">
        <is>
          <t>LA EMPERATRIZ</t>
        </is>
      </c>
      <c r="B222" s="2" t="inlineStr">
        <is>
          <t>SOL Y LUNA HIGH WAIST BOTTOM</t>
        </is>
      </c>
      <c r="C222" s="2" t="inlineStr">
        <is>
          <t>273223/SOLN</t>
        </is>
      </c>
      <c r="D222" s="2" t="n">
        <v>8000</v>
      </c>
      <c r="E222" s="3" t="n">
        <v>21976.61</v>
      </c>
      <c r="F222" s="4" t="n">
        <v>10185.03125</v>
      </c>
      <c r="G222" s="3">
        <f>IF(OR(E222="",F222=""),"",E222+F222)</f>
        <v/>
      </c>
      <c r="H222" s="3" t="n">
        <v>38272.3530875</v>
      </c>
      <c r="I222" s="3" t="n">
        <v>95680.88271874998</v>
      </c>
      <c r="J222" s="3" t="n">
        <v>109900</v>
      </c>
      <c r="K222" s="3" t="n">
        <v>50794.11764705883</v>
      </c>
      <c r="L222" s="5" t="n">
        <v>0.3668235075275044</v>
      </c>
      <c r="M222" s="3" t="n">
        <v>64647.05882352941</v>
      </c>
      <c r="N222" s="5" t="n">
        <v>0.5025041844858962</v>
      </c>
      <c r="O222" s="3" t="n">
        <v>98829.64</v>
      </c>
      <c r="P222" s="5" t="n">
        <v>0.6745749428005606</v>
      </c>
      <c r="Q222" s="3" t="n">
        <v>69160</v>
      </c>
      <c r="R222" s="5" t="n">
        <v>0.5349675932620012</v>
      </c>
      <c r="S222" s="3" t="n">
        <v>67.60000000000001</v>
      </c>
      <c r="T222" s="5" t="n">
        <v>0.8747989674166926</v>
      </c>
      <c r="U222" s="6">
        <f>IF(OR(K222="",E222=""),"",(K222-E222)/K222)</f>
        <v/>
      </c>
      <c r="V222" s="6">
        <f>IF(OR(M222="",E222=""),"",(M222-E222)/M222)</f>
        <v/>
      </c>
      <c r="W222" s="6">
        <f>IF(OR(O222="",E222=""),"",(O222-E222)/O222)</f>
        <v/>
      </c>
      <c r="X222" s="6">
        <f>IF(OR(Q222="",E222=""),"",(Q222-E222)/Q222)</f>
        <v/>
      </c>
      <c r="Y222" s="6">
        <f>IF(OR(S222="",E222=""),"",((S222*3500)-E222)/(S222*3500))</f>
        <v/>
      </c>
      <c r="Z222" s="7" t="n"/>
    </row>
    <row r="223">
      <c r="A223" s="2" t="inlineStr">
        <is>
          <t>LA EMPERATRIZ</t>
        </is>
      </c>
      <c r="B223" s="2" t="inlineStr">
        <is>
          <t>SOL Y LUNA STRAIGHT ONE PIECE</t>
        </is>
      </c>
      <c r="C223" s="2" t="inlineStr">
        <is>
          <t>273370/SOLN</t>
        </is>
      </c>
      <c r="D223" s="2" t="n">
        <v>8000</v>
      </c>
      <c r="E223" s="3" t="n">
        <v>48876.9098</v>
      </c>
      <c r="F223" s="4" t="n">
        <v>10185.03125</v>
      </c>
      <c r="G223" s="3">
        <f>IF(OR(E223="",F223=""),"",E223+F223)</f>
        <v/>
      </c>
      <c r="H223" s="3" t="n">
        <v>70283.7098495</v>
      </c>
      <c r="I223" s="3" t="n">
        <v>175709.27462375</v>
      </c>
      <c r="J223" s="3" t="n">
        <v>189900</v>
      </c>
      <c r="K223" s="3" t="n">
        <v>87768.90756302522</v>
      </c>
      <c r="L223" s="5" t="n">
        <v>0.3270744425343483</v>
      </c>
      <c r="M223" s="3" t="n">
        <v>111705.8823529412</v>
      </c>
      <c r="N223" s="5" t="n">
        <v>0.4712727762769879</v>
      </c>
      <c r="O223" s="3" t="n">
        <v>190057</v>
      </c>
      <c r="P223" s="5" t="n">
        <v>0.6892409064122869</v>
      </c>
      <c r="Q223" s="3" t="n">
        <v>133000</v>
      </c>
      <c r="R223" s="5" t="n">
        <v>0.5559252552631579</v>
      </c>
      <c r="S223" s="3" t="n">
        <v>130</v>
      </c>
      <c r="T223" s="5" t="n">
        <v>0.8804414148785424</v>
      </c>
      <c r="U223" s="6">
        <f>IF(OR(K223="",E223=""),"",(K223-E223)/K223)</f>
        <v/>
      </c>
      <c r="V223" s="6">
        <f>IF(OR(M223="",E223=""),"",(M223-E223)/M223)</f>
        <v/>
      </c>
      <c r="W223" s="6">
        <f>IF(OR(O223="",E223=""),"",(O223-E223)/O223)</f>
        <v/>
      </c>
      <c r="X223" s="6">
        <f>IF(OR(Q223="",E223=""),"",(Q223-E223)/Q223)</f>
        <v/>
      </c>
      <c r="Y223" s="6">
        <f>IF(OR(S223="",E223=""),"",((S223*3500)-E223)/(S223*3500))</f>
        <v/>
      </c>
      <c r="Z223" s="7" t="n"/>
    </row>
    <row r="224">
      <c r="A224" s="2" t="inlineStr">
        <is>
          <t>LA EMPERATRIZ</t>
        </is>
      </c>
      <c r="B224" s="2" t="inlineStr">
        <is>
          <t>SOL Y LUNA HALTER STRAP ONE PIECE</t>
        </is>
      </c>
      <c r="C224" s="2" t="inlineStr">
        <is>
          <t>273372/SOLN</t>
        </is>
      </c>
      <c r="D224" s="2" t="n">
        <v>8000</v>
      </c>
      <c r="E224" s="3" t="n">
        <v>47702.31</v>
      </c>
      <c r="F224" s="4" t="n">
        <v>10185.03125</v>
      </c>
      <c r="G224" s="3">
        <f>IF(OR(E224="",F224=""),"",E224+F224)</f>
        <v/>
      </c>
      <c r="H224" s="3" t="n">
        <v>68885.9360875</v>
      </c>
      <c r="I224" s="3" t="n">
        <v>172214.84021875</v>
      </c>
      <c r="J224" s="3" t="n">
        <v>199900</v>
      </c>
      <c r="K224" s="3" t="n">
        <v>92390.75630252103</v>
      </c>
      <c r="L224" s="5" t="n">
        <v>0.3734509428577927</v>
      </c>
      <c r="M224" s="3" t="n">
        <v>117588.2352941176</v>
      </c>
      <c r="N224" s="5" t="n">
        <v>0.5077114551025512</v>
      </c>
      <c r="O224" s="3" t="n">
        <v>209062.7</v>
      </c>
      <c r="P224" s="5" t="n">
        <v>0.7231101423161569</v>
      </c>
      <c r="Q224" s="3" t="n">
        <v>146300</v>
      </c>
      <c r="R224" s="5" t="n">
        <v>0.6043243933697882</v>
      </c>
      <c r="S224" s="3" t="n">
        <v>143</v>
      </c>
      <c r="T224" s="5" t="n">
        <v>0.8934719520610968</v>
      </c>
      <c r="U224" s="6">
        <f>IF(OR(K224="",E224=""),"",(K224-E224)/K224)</f>
        <v/>
      </c>
      <c r="V224" s="6">
        <f>IF(OR(M224="",E224=""),"",(M224-E224)/M224)</f>
        <v/>
      </c>
      <c r="W224" s="6">
        <f>IF(OR(O224="",E224=""),"",(O224-E224)/O224)</f>
        <v/>
      </c>
      <c r="X224" s="6">
        <f>IF(OR(Q224="",E224=""),"",(Q224-E224)/Q224)</f>
        <v/>
      </c>
      <c r="Y224" s="6">
        <f>IF(OR(S224="",E224=""),"",((S224*3500)-E224)/(S224*3500))</f>
        <v/>
      </c>
      <c r="Z224" s="7" t="n"/>
    </row>
    <row r="225">
      <c r="A225" s="2" t="inlineStr">
        <is>
          <t>LA EMPERATRIZ</t>
        </is>
      </c>
      <c r="B225" s="2" t="inlineStr">
        <is>
          <t>SOL Y LUNA PAREO</t>
        </is>
      </c>
      <c r="C225" s="2" t="inlineStr">
        <is>
          <t>27RE22/SOLN</t>
        </is>
      </c>
      <c r="D225" s="2" t="n">
        <v>8000</v>
      </c>
      <c r="E225" s="3" t="n">
        <v>22789.02857142857</v>
      </c>
      <c r="F225" s="4" t="n">
        <v>10185.03125</v>
      </c>
      <c r="G225" s="3">
        <f>IF(OR(E225="",F225=""),"",E225+F225)</f>
        <v/>
      </c>
      <c r="H225" s="3" t="n">
        <v>39239.1311875</v>
      </c>
      <c r="I225" s="3" t="n">
        <v>98097.82796874999</v>
      </c>
      <c r="J225" s="3" t="n">
        <v>139900</v>
      </c>
      <c r="K225" s="3" t="n">
        <v>64659.66386554623</v>
      </c>
      <c r="L225" s="5" t="n">
        <v>0.4900366341217754</v>
      </c>
      <c r="M225" s="3" t="n">
        <v>82294.11764705883</v>
      </c>
      <c r="N225" s="5" t="n">
        <v>0.5993144982385378</v>
      </c>
      <c r="O225" s="3" t="n">
        <v>136841.04</v>
      </c>
      <c r="P225" s="5" t="n">
        <v>0.7590338408606908</v>
      </c>
      <c r="Q225" s="3" t="n">
        <v>95760</v>
      </c>
      <c r="R225" s="5" t="n">
        <v>0.6556593585899272</v>
      </c>
      <c r="S225" s="3" t="n">
        <v>93.60000000000001</v>
      </c>
      <c r="T225" s="5" t="n">
        <v>0.9072929042357497</v>
      </c>
      <c r="U225" s="6">
        <f>IF(OR(K225="",E225=""),"",(K225-E225)/K225)</f>
        <v/>
      </c>
      <c r="V225" s="6">
        <f>IF(OR(M225="",E225=""),"",(M225-E225)/M225)</f>
        <v/>
      </c>
      <c r="W225" s="6">
        <f>IF(OR(O225="",E225=""),"",(O225-E225)/O225)</f>
        <v/>
      </c>
      <c r="X225" s="6">
        <f>IF(OR(Q225="",E225=""),"",(Q225-E225)/Q225)</f>
        <v/>
      </c>
      <c r="Y225" s="6">
        <f>IF(OR(S225="",E225=""),"",((S225*3500)-E225)/(S225*3500))</f>
        <v/>
      </c>
      <c r="Z225" s="7" t="n"/>
    </row>
    <row r="226">
      <c r="A226" s="2" t="inlineStr">
        <is>
          <t>LA EMPERATRIZ</t>
        </is>
      </c>
      <c r="B226" s="2" t="inlineStr">
        <is>
          <t>SOL Y LUNA TOWEL</t>
        </is>
      </c>
      <c r="C226" s="2" t="inlineStr">
        <is>
          <t>27TO27/SOLN</t>
        </is>
      </c>
      <c r="D226" s="2" t="n">
        <v>8000</v>
      </c>
      <c r="E226" s="3" t="n">
        <v>30842</v>
      </c>
      <c r="F226" s="4" t="n">
        <v>10185.03125</v>
      </c>
      <c r="G226" s="3">
        <f>IF(OR(E226="",F226=""),"",E226+F226)</f>
        <v/>
      </c>
      <c r="H226" s="3" t="n">
        <v>48822.1671875</v>
      </c>
      <c r="I226" s="3" t="n">
        <v>122055.41796875</v>
      </c>
      <c r="J226" s="3" t="n">
        <v>89900</v>
      </c>
      <c r="K226" s="3" t="n">
        <v>41550.42016806723</v>
      </c>
      <c r="L226" s="5" t="n">
        <v>0.01259647714632437</v>
      </c>
      <c r="M226" s="3" t="n">
        <v>52882.35294117647</v>
      </c>
      <c r="N226" s="5" t="n">
        <v>0.2241829463292547</v>
      </c>
      <c r="O226" s="3" t="n">
        <v>106431.92</v>
      </c>
      <c r="P226" s="5" t="n">
        <v>0.6145232440606163</v>
      </c>
      <c r="Q226" s="3" t="n">
        <v>74479.99999999999</v>
      </c>
      <c r="R226" s="5" t="n">
        <v>0.4491537157626208</v>
      </c>
      <c r="S226" s="3" t="n">
        <v>72.8</v>
      </c>
      <c r="T226" s="5" t="n">
        <v>0.8516952311668594</v>
      </c>
      <c r="U226" s="6">
        <f>IF(OR(K226="",E226=""),"",(K226-E226)/K226)</f>
        <v/>
      </c>
      <c r="V226" s="6">
        <f>IF(OR(M226="",E226=""),"",(M226-E226)/M226)</f>
        <v/>
      </c>
      <c r="W226" s="6">
        <f>IF(OR(O226="",E226=""),"",(O226-E226)/O226)</f>
        <v/>
      </c>
      <c r="X226" s="6">
        <f>IF(OR(Q226="",E226=""),"",(Q226-E226)/Q226)</f>
        <v/>
      </c>
      <c r="Y226" s="6">
        <f>IF(OR(S226="",E226=""),"",((S226*3500)-E226)/(S226*3500))</f>
        <v/>
      </c>
      <c r="Z226" s="7" t="n"/>
    </row>
    <row r="227">
      <c r="A227" s="2" t="inlineStr">
        <is>
          <t>LA EMPERATRIZ</t>
        </is>
      </c>
      <c r="B227" s="2" t="inlineStr">
        <is>
          <t>SOL Y LUNA T-SHIRT</t>
        </is>
      </c>
      <c r="C227" s="2" t="inlineStr">
        <is>
          <t>27TSH20/SOLN</t>
        </is>
      </c>
      <c r="D227" s="2" t="n">
        <v>8000</v>
      </c>
      <c r="E227" s="3" t="n">
        <v>35411.6</v>
      </c>
      <c r="F227" s="4" t="n">
        <v>10185.03125</v>
      </c>
      <c r="G227" s="3">
        <f>IF(OR(E227="",F227=""),"",E227+F227)</f>
        <v/>
      </c>
      <c r="H227" s="3" t="n">
        <v>54259.9911875</v>
      </c>
      <c r="I227" s="3" t="n">
        <v>135649.97796875</v>
      </c>
      <c r="J227" s="3" t="n">
        <v>129900</v>
      </c>
      <c r="K227" s="3" t="n">
        <v>60037.81512605043</v>
      </c>
      <c r="L227" s="5" t="n">
        <v>0.2405348003709148</v>
      </c>
      <c r="M227" s="3" t="n">
        <v>76411.76470588235</v>
      </c>
      <c r="N227" s="5" t="n">
        <v>0.4032773431485758</v>
      </c>
      <c r="O227" s="3" t="n">
        <v>129238.76</v>
      </c>
      <c r="P227" s="5" t="n">
        <v>0.6471907402237532</v>
      </c>
      <c r="Q227" s="3" t="n">
        <v>90439.99999999999</v>
      </c>
      <c r="R227" s="5" t="n">
        <v>0.4958355677797434</v>
      </c>
      <c r="S227" s="3" t="n">
        <v>88.40000000000001</v>
      </c>
      <c r="T227" s="5" t="n">
        <v>0.8642634220945464</v>
      </c>
      <c r="U227" s="6">
        <f>IF(OR(K227="",E227=""),"",(K227-E227)/K227)</f>
        <v/>
      </c>
      <c r="V227" s="6">
        <f>IF(OR(M227="",E227=""),"",(M227-E227)/M227)</f>
        <v/>
      </c>
      <c r="W227" s="6">
        <f>IF(OR(O227="",E227=""),"",(O227-E227)/O227)</f>
        <v/>
      </c>
      <c r="X227" s="6">
        <f>IF(OR(Q227="",E227=""),"",(Q227-E227)/Q227)</f>
        <v/>
      </c>
      <c r="Y227" s="6">
        <f>IF(OR(S227="",E227=""),"",((S227*3500)-E227)/(S227*3500))</f>
        <v/>
      </c>
      <c r="Z227" s="7" t="n"/>
    </row>
    <row r="228">
      <c r="A228" s="2" t="inlineStr">
        <is>
          <t>LA EMPERATRIZ</t>
        </is>
      </c>
      <c r="B228" s="2" t="inlineStr">
        <is>
          <t>LUNA T-SHIRT</t>
        </is>
      </c>
      <c r="C228" s="2" t="inlineStr">
        <is>
          <t>27TSH20/LUN</t>
        </is>
      </c>
      <c r="D228" s="2" t="n">
        <v>8000</v>
      </c>
      <c r="E228" s="3" t="n">
        <v>35411.6</v>
      </c>
      <c r="F228" s="4" t="n">
        <v>10185.03125</v>
      </c>
      <c r="G228" s="3">
        <f>IF(OR(E228="",F228=""),"",E228+F228)</f>
        <v/>
      </c>
      <c r="H228" s="3" t="n">
        <v>54259.9911875</v>
      </c>
      <c r="I228" s="3" t="n">
        <v>135649.97796875</v>
      </c>
      <c r="J228" s="3" t="n">
        <v>129900</v>
      </c>
      <c r="K228" s="3" t="n">
        <v>60037.81512605043</v>
      </c>
      <c r="L228" s="5" t="n">
        <v>0.2405348003709148</v>
      </c>
      <c r="M228" s="3" t="n">
        <v>76411.76470588235</v>
      </c>
      <c r="N228" s="5" t="n">
        <v>0.4032773431485758</v>
      </c>
      <c r="O228" s="3" t="n">
        <v>129238.76</v>
      </c>
      <c r="P228" s="5" t="n">
        <v>0.6471907402237532</v>
      </c>
      <c r="Q228" s="3" t="n">
        <v>90439.99999999999</v>
      </c>
      <c r="R228" s="5" t="n">
        <v>0.4958355677797434</v>
      </c>
      <c r="S228" s="3" t="n">
        <v>88.40000000000001</v>
      </c>
      <c r="T228" s="5" t="n">
        <v>0.8642634220945464</v>
      </c>
      <c r="U228" s="6">
        <f>IF(OR(K228="",E228=""),"",(K228-E228)/K228)</f>
        <v/>
      </c>
      <c r="V228" s="6">
        <f>IF(OR(M228="",E228=""),"",(M228-E228)/M228)</f>
        <v/>
      </c>
      <c r="W228" s="6">
        <f>IF(OR(O228="",E228=""),"",(O228-E228)/O228)</f>
        <v/>
      </c>
      <c r="X228" s="6">
        <f>IF(OR(Q228="",E228=""),"",(Q228-E228)/Q228)</f>
        <v/>
      </c>
      <c r="Y228" s="6">
        <f>IF(OR(S228="",E228=""),"",((S228*3500)-E228)/(S228*3500))</f>
        <v/>
      </c>
      <c r="Z228" s="7" t="n"/>
    </row>
    <row r="229">
      <c r="A229" s="2" t="inlineStr">
        <is>
          <t>LA EMPERATRIZ</t>
        </is>
      </c>
      <c r="B229" s="2" t="inlineStr">
        <is>
          <t>SOL Y LUNA SHIRT</t>
        </is>
      </c>
      <c r="C229" s="2" t="inlineStr">
        <is>
          <t>27CA21/SOLN</t>
        </is>
      </c>
      <c r="D229" s="2" t="n">
        <v>8000</v>
      </c>
      <c r="E229" s="3" t="n">
        <v>47099</v>
      </c>
      <c r="F229" s="4" t="n">
        <v>10185.03125</v>
      </c>
      <c r="G229" s="3">
        <f>IF(OR(E229="",F229=""),"",E229+F229)</f>
        <v/>
      </c>
      <c r="H229" s="3" t="n">
        <v>68167.99718749999</v>
      </c>
      <c r="I229" s="3" t="n">
        <v>170419.99296875</v>
      </c>
      <c r="J229" s="3" t="n">
        <v>169000</v>
      </c>
      <c r="K229" s="3" t="n">
        <v>78109.24369747899</v>
      </c>
      <c r="L229" s="5" t="n">
        <v>0.2666164907208176</v>
      </c>
      <c r="M229" s="3" t="n">
        <v>99411.76470588235</v>
      </c>
      <c r="N229" s="5" t="n">
        <v>0.423770099852071</v>
      </c>
      <c r="O229" s="3" t="n">
        <v>174852.44</v>
      </c>
      <c r="P229" s="5" t="n">
        <v>0.6723864348132631</v>
      </c>
      <c r="Q229" s="3" t="n">
        <v>122360</v>
      </c>
      <c r="R229" s="5" t="n">
        <v>0.531840215348153</v>
      </c>
      <c r="S229" s="3" t="n">
        <v>119.6</v>
      </c>
      <c r="T229" s="5" t="n">
        <v>0.873956981055272</v>
      </c>
      <c r="U229" s="6">
        <f>IF(OR(K229="",E229=""),"",(K229-E229)/K229)</f>
        <v/>
      </c>
      <c r="V229" s="6">
        <f>IF(OR(M229="",E229=""),"",(M229-E229)/M229)</f>
        <v/>
      </c>
      <c r="W229" s="6">
        <f>IF(OR(O229="",E229=""),"",(O229-E229)/O229)</f>
        <v/>
      </c>
      <c r="X229" s="6">
        <f>IF(OR(Q229="",E229=""),"",(Q229-E229)/Q229)</f>
        <v/>
      </c>
      <c r="Y229" s="6">
        <f>IF(OR(S229="",E229=""),"",((S229*3500)-E229)/(S229*3500))</f>
        <v/>
      </c>
      <c r="Z229" s="7" t="n"/>
    </row>
    <row r="230">
      <c r="A230" s="2" t="inlineStr">
        <is>
          <t>LA EMPERATRIZ</t>
        </is>
      </c>
      <c r="B230" s="2" t="inlineStr">
        <is>
          <t>SOL Y LUNA WRAP SKORT</t>
        </is>
      </c>
      <c r="C230" s="2" t="inlineStr">
        <is>
          <t>27FA25/SOLN</t>
        </is>
      </c>
      <c r="D230" s="2" t="n">
        <v>8000</v>
      </c>
      <c r="E230" s="3" t="n">
        <v>36274</v>
      </c>
      <c r="F230" s="4" t="n">
        <v>10185.03125</v>
      </c>
      <c r="G230" s="3">
        <f>IF(OR(E230="",F230=""),"",E230+F230)</f>
        <v/>
      </c>
      <c r="H230" s="3" t="n">
        <v>55286.2471875</v>
      </c>
      <c r="I230" s="3" t="n">
        <v>138215.61796875</v>
      </c>
      <c r="J230" s="3" t="n">
        <v>139900</v>
      </c>
      <c r="K230" s="3" t="n">
        <v>64659.66386554623</v>
      </c>
      <c r="L230" s="5" t="n">
        <v>0.2814835637468323</v>
      </c>
      <c r="M230" s="3" t="n">
        <v>82294.11764705883</v>
      </c>
      <c r="N230" s="5" t="n">
        <v>0.4354513715153681</v>
      </c>
      <c r="O230" s="3" t="n">
        <v>167250.16</v>
      </c>
      <c r="P230" s="5" t="n">
        <v>0.7222183150676806</v>
      </c>
      <c r="Q230" s="3" t="n">
        <v>117040</v>
      </c>
      <c r="R230" s="5" t="n">
        <v>0.6030499722317156</v>
      </c>
      <c r="S230" s="3" t="n">
        <v>114.4</v>
      </c>
      <c r="T230" s="5" t="n">
        <v>0.8931288386777696</v>
      </c>
      <c r="U230" s="6">
        <f>IF(OR(K230="",E230=""),"",(K230-E230)/K230)</f>
        <v/>
      </c>
      <c r="V230" s="6">
        <f>IF(OR(M230="",E230=""),"",(M230-E230)/M230)</f>
        <v/>
      </c>
      <c r="W230" s="6">
        <f>IF(OR(O230="",E230=""),"",(O230-E230)/O230)</f>
        <v/>
      </c>
      <c r="X230" s="6">
        <f>IF(OR(Q230="",E230=""),"",(Q230-E230)/Q230)</f>
        <v/>
      </c>
      <c r="Y230" s="6">
        <f>IF(OR(S230="",E230=""),"",((S230*3500)-E230)/(S230*3500))</f>
        <v/>
      </c>
      <c r="Z230" s="7" t="n"/>
    </row>
    <row r="231">
      <c r="A231" s="2" t="inlineStr">
        <is>
          <t>LA EMPERATRIZ</t>
        </is>
      </c>
      <c r="B231" s="2" t="inlineStr">
        <is>
          <t>SOL Y LUNA MESH LONG DRESS</t>
        </is>
      </c>
      <c r="C231" s="2" t="inlineStr">
        <is>
          <t>27VE36/SOLN</t>
        </is>
      </c>
      <c r="D231" s="2" t="n">
        <v>8000</v>
      </c>
      <c r="E231" s="3" t="n">
        <v>49635.625</v>
      </c>
      <c r="F231" s="4" t="n">
        <v>10185.03125</v>
      </c>
      <c r="G231" s="3">
        <f>IF(OR(E231="",F231=""),"",E231+F231)</f>
        <v/>
      </c>
      <c r="H231" s="3" t="n">
        <v>71186.5809375</v>
      </c>
      <c r="I231" s="3" t="n">
        <v>177966.45234375</v>
      </c>
      <c r="J231" s="3" t="n">
        <v>169900</v>
      </c>
      <c r="K231" s="3" t="n">
        <v>78525.21008403362</v>
      </c>
      <c r="L231" s="5" t="n">
        <v>0.2381980744020548</v>
      </c>
      <c r="M231" s="3" t="n">
        <v>99941.17647058824</v>
      </c>
      <c r="N231" s="5" t="n">
        <v>0.401441344173043</v>
      </c>
      <c r="O231" s="3" t="n">
        <v>182454.72</v>
      </c>
      <c r="P231" s="5" t="n">
        <v>0.6721342355517028</v>
      </c>
      <c r="Q231" s="3" t="n">
        <v>127680</v>
      </c>
      <c r="R231" s="5" t="n">
        <v>0.5314798226033834</v>
      </c>
      <c r="S231" s="3" t="n">
        <v>124.8</v>
      </c>
      <c r="T231" s="5" t="n">
        <v>0.8738599522393725</v>
      </c>
      <c r="U231" s="6">
        <f>IF(OR(K231="",E231=""),"",(K231-E231)/K231)</f>
        <v/>
      </c>
      <c r="V231" s="6">
        <f>IF(OR(M231="",E231=""),"",(M231-E231)/M231)</f>
        <v/>
      </c>
      <c r="W231" s="6">
        <f>IF(OR(O231="",E231=""),"",(O231-E231)/O231)</f>
        <v/>
      </c>
      <c r="X231" s="6">
        <f>IF(OR(Q231="",E231=""),"",(Q231-E231)/Q231)</f>
        <v/>
      </c>
      <c r="Y231" s="6">
        <f>IF(OR(S231="",E231=""),"",((S231*3500)-E231)/(S231*3500))</f>
        <v/>
      </c>
      <c r="Z231" s="7" t="n"/>
    </row>
    <row r="232">
      <c r="A232" s="2" t="inlineStr">
        <is>
          <t>LA EMPERATRIZ</t>
        </is>
      </c>
      <c r="B232" s="2" t="inlineStr">
        <is>
          <t>SOL Y LUNA MESH DRESS</t>
        </is>
      </c>
      <c r="C232" s="2" t="inlineStr">
        <is>
          <t>27VE32/SOLN</t>
        </is>
      </c>
      <c r="D232" s="2" t="n">
        <v>8000</v>
      </c>
      <c r="E232" s="3" t="n">
        <v>51220.07</v>
      </c>
      <c r="F232" s="4" t="n">
        <v>10185.03125</v>
      </c>
      <c r="G232" s="3">
        <f>IF(OR(E232="",F232=""),"",E232+F232)</f>
        <v/>
      </c>
      <c r="H232" s="3" t="n">
        <v>73072.07048749999</v>
      </c>
      <c r="I232" s="3" t="n">
        <v>182680.17621875</v>
      </c>
      <c r="J232" s="3" t="n">
        <v>169900</v>
      </c>
      <c r="K232" s="3" t="n">
        <v>78525.21008403362</v>
      </c>
      <c r="L232" s="5" t="n">
        <v>0.2180205416287657</v>
      </c>
      <c r="M232" s="3" t="n">
        <v>99941.17647058824</v>
      </c>
      <c r="N232" s="5" t="n">
        <v>0.3855875684226016</v>
      </c>
      <c r="O232" s="3" t="n">
        <v>182454.72</v>
      </c>
      <c r="P232" s="5" t="n">
        <v>0.6634501905459063</v>
      </c>
      <c r="Q232" s="3" t="n">
        <v>127680</v>
      </c>
      <c r="R232" s="5" t="n">
        <v>0.5190703222901003</v>
      </c>
      <c r="S232" s="3" t="n">
        <v>124.8</v>
      </c>
      <c r="T232" s="5" t="n">
        <v>0.8705189329242577</v>
      </c>
      <c r="U232" s="6">
        <f>IF(OR(K232="",E232=""),"",(K232-E232)/K232)</f>
        <v/>
      </c>
      <c r="V232" s="6">
        <f>IF(OR(M232="",E232=""),"",(M232-E232)/M232)</f>
        <v/>
      </c>
      <c r="W232" s="6">
        <f>IF(OR(O232="",E232=""),"",(O232-E232)/O232)</f>
        <v/>
      </c>
      <c r="X232" s="6">
        <f>IF(OR(Q232="",E232=""),"",(Q232-E232)/Q232)</f>
        <v/>
      </c>
      <c r="Y232" s="6">
        <f>IF(OR(S232="",E232=""),"",((S232*3500)-E232)/(S232*3500))</f>
        <v/>
      </c>
      <c r="Z232" s="7" t="n"/>
    </row>
    <row r="233">
      <c r="A233" s="2" t="inlineStr">
        <is>
          <t>LA EMPERATRIZ</t>
        </is>
      </c>
      <c r="B233" s="2" t="inlineStr">
        <is>
          <t>SOL Y LUNA MESH SHIRT</t>
        </is>
      </c>
      <c r="C233" s="2" t="inlineStr">
        <is>
          <t>27CA36/SOLN</t>
        </is>
      </c>
      <c r="D233" s="2" t="n">
        <v>8000</v>
      </c>
      <c r="E233" s="3" t="n">
        <v>30229.34408602151</v>
      </c>
      <c r="F233" s="4" t="n">
        <v>10185.03125</v>
      </c>
      <c r="G233" s="3">
        <f>IF(OR(E233="",F233=""),"",E233+F233)</f>
        <v/>
      </c>
      <c r="H233" s="3" t="n">
        <v>48093.10664986559</v>
      </c>
      <c r="I233" s="3" t="n">
        <v>120232.766624664</v>
      </c>
      <c r="J233" s="3" t="n">
        <v>129900</v>
      </c>
      <c r="K233" s="3" t="n">
        <v>60037.81512605043</v>
      </c>
      <c r="L233" s="5" t="n">
        <v>0.3268513310957298</v>
      </c>
      <c r="M233" s="3" t="n">
        <v>76411.76470588235</v>
      </c>
      <c r="N233" s="5" t="n">
        <v>0.4710974744323591</v>
      </c>
      <c r="O233" s="3" t="n">
        <v>144443.32</v>
      </c>
      <c r="P233" s="5" t="n">
        <v>0.7202059926618862</v>
      </c>
      <c r="Q233" s="3" t="n">
        <v>101080</v>
      </c>
      <c r="R233" s="5" t="n">
        <v>0.6001743635138355</v>
      </c>
      <c r="S233" s="3" t="n">
        <v>98.8</v>
      </c>
      <c r="T233" s="5" t="n">
        <v>0.8923546363306479</v>
      </c>
      <c r="U233" s="6">
        <f>IF(OR(K233="",E233=""),"",(K233-E233)/K233)</f>
        <v/>
      </c>
      <c r="V233" s="6">
        <f>IF(OR(M233="",E233=""),"",(M233-E233)/M233)</f>
        <v/>
      </c>
      <c r="W233" s="6">
        <f>IF(OR(O233="",E233=""),"",(O233-E233)/O233)</f>
        <v/>
      </c>
      <c r="X233" s="6">
        <f>IF(OR(Q233="",E233=""),"",(Q233-E233)/Q233)</f>
        <v/>
      </c>
      <c r="Y233" s="6">
        <f>IF(OR(S233="",E233=""),"",((S233*3500)-E233)/(S233*3500))</f>
        <v/>
      </c>
      <c r="Z233" s="7" t="n"/>
    </row>
    <row r="234">
      <c r="A234" s="2" t="inlineStr">
        <is>
          <t>LA EMPERATRIZ</t>
        </is>
      </c>
      <c r="B234" s="2" t="inlineStr">
        <is>
          <t>SOL Y LUNA MESH LONG SHIRT</t>
        </is>
      </c>
      <c r="C234" s="2" t="inlineStr">
        <is>
          <t>27CA32/SOLN</t>
        </is>
      </c>
      <c r="D234" s="2" t="n">
        <v>8000</v>
      </c>
      <c r="E234" s="3" t="n">
        <v>26982</v>
      </c>
      <c r="F234" s="4" t="n">
        <v>10185.03125</v>
      </c>
      <c r="G234" s="3">
        <f>IF(OR(E234="",F234=""),"",E234+F234)</f>
        <v/>
      </c>
      <c r="H234" s="3" t="n">
        <v>44228.7671875</v>
      </c>
      <c r="I234" s="3" t="n">
        <v>110571.91796875</v>
      </c>
      <c r="J234" s="3" t="n">
        <v>119900</v>
      </c>
      <c r="K234" s="3" t="n">
        <v>55415.96638655462</v>
      </c>
      <c r="L234" s="5" t="n">
        <v>0.3293082540374555</v>
      </c>
      <c r="M234" s="3" t="n">
        <v>70529.41176470587</v>
      </c>
      <c r="N234" s="5" t="n">
        <v>0.4730279138865721</v>
      </c>
      <c r="O234" s="3" t="n">
        <v>114034.2</v>
      </c>
      <c r="P234" s="5" t="n">
        <v>0.6740711887310999</v>
      </c>
      <c r="Q234" s="3" t="n">
        <v>79800</v>
      </c>
      <c r="R234" s="5" t="n">
        <v>0.5342477286967419</v>
      </c>
      <c r="S234" s="3" t="n">
        <v>78</v>
      </c>
      <c r="T234" s="5" t="n">
        <v>0.8746051577260459</v>
      </c>
      <c r="U234" s="6">
        <f>IF(OR(K234="",E234=""),"",(K234-E234)/K234)</f>
        <v/>
      </c>
      <c r="V234" s="6">
        <f>IF(OR(M234="",E234=""),"",(M234-E234)/M234)</f>
        <v/>
      </c>
      <c r="W234" s="6">
        <f>IF(OR(O234="",E234=""),"",(O234-E234)/O234)</f>
        <v/>
      </c>
      <c r="X234" s="6">
        <f>IF(OR(Q234="",E234=""),"",(Q234-E234)/Q234)</f>
        <v/>
      </c>
      <c r="Y234" s="6">
        <f>IF(OR(S234="",E234=""),"",((S234*3500)-E234)/(S234*3500))</f>
        <v/>
      </c>
      <c r="Z234" s="7" t="n"/>
    </row>
    <row r="235">
      <c r="A235" s="2" t="inlineStr">
        <is>
          <t>LA EMPERATRIZ</t>
        </is>
      </c>
      <c r="B235" s="2" t="inlineStr">
        <is>
          <t>SOL Y LUNA SLEEP SLEEVELESS SHIRT</t>
        </is>
      </c>
      <c r="C235" s="2" t="inlineStr">
        <is>
          <t>274124/SOLN</t>
        </is>
      </c>
      <c r="D235" s="2" t="n">
        <v>8000</v>
      </c>
      <c r="E235" s="3" t="n">
        <v>18336.66</v>
      </c>
      <c r="F235" s="4" t="n">
        <v>10185.03125</v>
      </c>
      <c r="G235" s="3">
        <f>IF(OR(E235="",F235=""),"",E235+F235)</f>
        <v/>
      </c>
      <c r="H235" s="3" t="n">
        <v>33940.8125875</v>
      </c>
      <c r="I235" s="3" t="n">
        <v>84852.03146874999</v>
      </c>
      <c r="J235" s="3" t="n">
        <v>79950</v>
      </c>
      <c r="K235" s="3" t="n">
        <v>36951.68067226891</v>
      </c>
      <c r="L235" s="5" t="n">
        <v>0.2281354804138952</v>
      </c>
      <c r="M235" s="3" t="n">
        <v>47029.41176470588</v>
      </c>
      <c r="N235" s="5" t="n">
        <v>0.3935350203252032</v>
      </c>
      <c r="O235" s="3" t="n">
        <v>49414.82</v>
      </c>
      <c r="P235" s="5" t="n">
        <v>0.4228109856516729</v>
      </c>
      <c r="Q235" s="3" t="n">
        <v>34580</v>
      </c>
      <c r="R235" s="5" t="n">
        <v>0.1751968984962406</v>
      </c>
      <c r="S235" s="3" t="n">
        <v>33.8</v>
      </c>
      <c r="T235" s="5" t="n">
        <v>0.7779376265182186</v>
      </c>
      <c r="U235" s="6">
        <f>IF(OR(K235="",E235=""),"",(K235-E235)/K235)</f>
        <v/>
      </c>
      <c r="V235" s="6">
        <f>IF(OR(M235="",E235=""),"",(M235-E235)/M235)</f>
        <v/>
      </c>
      <c r="W235" s="6">
        <f>IF(OR(O235="",E235=""),"",(O235-E235)/O235)</f>
        <v/>
      </c>
      <c r="X235" s="6">
        <f>IF(OR(Q235="",E235=""),"",(Q235-E235)/Q235)</f>
        <v/>
      </c>
      <c r="Y235" s="6">
        <f>IF(OR(S235="",E235=""),"",((S235*3500)-E235)/(S235*3500))</f>
        <v/>
      </c>
      <c r="Z235" s="7" t="n"/>
    </row>
    <row r="236">
      <c r="A236" s="2" t="inlineStr">
        <is>
          <t>LA EMPERATRIZ</t>
        </is>
      </c>
      <c r="B236" s="2" t="inlineStr">
        <is>
          <t>SOL Y LUNA SLEEP SHORT</t>
        </is>
      </c>
      <c r="C236" s="2" t="inlineStr">
        <is>
          <t>274222/SOLN</t>
        </is>
      </c>
      <c r="D236" s="2" t="n">
        <v>8000</v>
      </c>
      <c r="E236" s="3" t="n">
        <v>18737.81</v>
      </c>
      <c r="F236" s="4" t="n">
        <v>10185.03125</v>
      </c>
      <c r="G236" s="3">
        <f>IF(OR(E236="",F236=""),"",E236+F236)</f>
        <v/>
      </c>
      <c r="H236" s="3" t="n">
        <v>34418.1810875</v>
      </c>
      <c r="I236" s="3" t="n">
        <v>86045.45271874999</v>
      </c>
      <c r="J236" s="3" t="n">
        <v>99950</v>
      </c>
      <c r="K236" s="3" t="n">
        <v>46195.37815126051</v>
      </c>
      <c r="L236" s="5" t="n">
        <v>0.373901840238301</v>
      </c>
      <c r="M236" s="3" t="n">
        <v>58794.11764705882</v>
      </c>
      <c r="N236" s="5" t="n">
        <v>0.5080657316158078</v>
      </c>
      <c r="O236" s="3" t="n">
        <v>49414.82</v>
      </c>
      <c r="P236" s="5" t="n">
        <v>0.4146929757105257</v>
      </c>
      <c r="Q236" s="3" t="n">
        <v>34580</v>
      </c>
      <c r="R236" s="5" t="n">
        <v>0.1635962622903412</v>
      </c>
      <c r="S236" s="3" t="n">
        <v>33.8</v>
      </c>
      <c r="T236" s="5" t="n">
        <v>0.7748143783089381</v>
      </c>
      <c r="U236" s="6">
        <f>IF(OR(K236="",E236=""),"",(K236-E236)/K236)</f>
        <v/>
      </c>
      <c r="V236" s="6">
        <f>IF(OR(M236="",E236=""),"",(M236-E236)/M236)</f>
        <v/>
      </c>
      <c r="W236" s="6">
        <f>IF(OR(O236="",E236=""),"",(O236-E236)/O236)</f>
        <v/>
      </c>
      <c r="X236" s="6">
        <f>IF(OR(Q236="",E236=""),"",(Q236-E236)/Q236)</f>
        <v/>
      </c>
      <c r="Y236" s="6">
        <f>IF(OR(S236="",E236=""),"",((S236*3500)-E236)/(S236*3500))</f>
        <v/>
      </c>
      <c r="Z236" s="7" t="n"/>
    </row>
    <row r="237">
      <c r="A237" s="2" t="inlineStr">
        <is>
          <t>LA EMPERATRIZ</t>
        </is>
      </c>
      <c r="B237" s="2" t="inlineStr">
        <is>
          <t>SOL Y LUNA SLEEP LONG SHIRT</t>
        </is>
      </c>
      <c r="C237" s="2" t="inlineStr">
        <is>
          <t>274121/SOLN</t>
        </is>
      </c>
      <c r="D237" s="2" t="n">
        <v>8000</v>
      </c>
      <c r="E237" s="3" t="n">
        <v>32611.31</v>
      </c>
      <c r="F237" s="4" t="n">
        <v>10185.03125</v>
      </c>
      <c r="G237" s="3">
        <f>IF(OR(E237="",F237=""),"",E237+F237)</f>
        <v/>
      </c>
      <c r="H237" s="3" t="n">
        <v>50927.6460875</v>
      </c>
      <c r="I237" s="3" t="n">
        <v>127319.11521875</v>
      </c>
      <c r="J237" s="3" t="n">
        <v>99950</v>
      </c>
      <c r="K237" s="3" t="n">
        <v>46195.37815126051</v>
      </c>
      <c r="L237" s="5" t="n">
        <v>0.07357958820319273</v>
      </c>
      <c r="M237" s="3" t="n">
        <v>58794.11764705882</v>
      </c>
      <c r="N237" s="5" t="n">
        <v>0.2720982478739369</v>
      </c>
      <c r="O237" s="3" t="n">
        <v>64619.37999999999</v>
      </c>
      <c r="P237" s="5" t="n">
        <v>0.3377166223198055</v>
      </c>
      <c r="Q237" s="3" t="n">
        <v>45219.99999999999</v>
      </c>
      <c r="R237" s="5" t="n">
        <v>0.05359705329500211</v>
      </c>
      <c r="S237" s="3" t="n">
        <v>44.2</v>
      </c>
      <c r="T237" s="5" t="n">
        <v>0.7451992066563468</v>
      </c>
      <c r="U237" s="6">
        <f>IF(OR(K237="",E237=""),"",(K237-E237)/K237)</f>
        <v/>
      </c>
      <c r="V237" s="6">
        <f>IF(OR(M237="",E237=""),"",(M237-E237)/M237)</f>
        <v/>
      </c>
      <c r="W237" s="6">
        <f>IF(OR(O237="",E237=""),"",(O237-E237)/O237)</f>
        <v/>
      </c>
      <c r="X237" s="6">
        <f>IF(OR(Q237="",E237=""),"",(Q237-E237)/Q237)</f>
        <v/>
      </c>
      <c r="Y237" s="6">
        <f>IF(OR(S237="",E237=""),"",((S237*3500)-E237)/(S237*3500))</f>
        <v/>
      </c>
      <c r="Z237" s="7" t="n"/>
    </row>
    <row r="238">
      <c r="A238" s="2" t="inlineStr">
        <is>
          <t>LA EMPERATRIZ</t>
        </is>
      </c>
      <c r="B238" s="2" t="inlineStr">
        <is>
          <t>SOL Y LUNA SLEEP PANTS</t>
        </is>
      </c>
      <c r="C238" s="2" t="inlineStr">
        <is>
          <t>274323/SOLN</t>
        </is>
      </c>
      <c r="D238" s="2" t="n">
        <v>8000</v>
      </c>
      <c r="E238" s="3" t="n">
        <v>28786.53</v>
      </c>
      <c r="F238" s="4" t="n">
        <v>10185.03125</v>
      </c>
      <c r="G238" s="3">
        <f>IF(OR(E238="",F238=""),"",E238+F238)</f>
        <v/>
      </c>
      <c r="H238" s="3" t="n">
        <v>46376.1578875</v>
      </c>
      <c r="I238" s="3" t="n">
        <v>115940.39471875</v>
      </c>
      <c r="J238" s="3" t="n">
        <v>99950</v>
      </c>
      <c r="K238" s="3" t="n">
        <v>46195.37815126051</v>
      </c>
      <c r="L238" s="5" t="n">
        <v>0.1563753169766703</v>
      </c>
      <c r="M238" s="3" t="n">
        <v>58794.11764705882</v>
      </c>
      <c r="N238" s="5" t="n">
        <v>0.3371520347673836</v>
      </c>
      <c r="O238" s="3" t="n">
        <v>57017.1</v>
      </c>
      <c r="P238" s="5" t="n">
        <v>0.3164934510874808</v>
      </c>
      <c r="Q238" s="3" t="n">
        <v>39900</v>
      </c>
      <c r="R238" s="5" t="n">
        <v>0.02326914160401005</v>
      </c>
      <c r="S238" s="3" t="n">
        <v>39</v>
      </c>
      <c r="T238" s="5" t="n">
        <v>0.7370339996626181</v>
      </c>
      <c r="U238" s="6">
        <f>IF(OR(K238="",E238=""),"",(K238-E238)/K238)</f>
        <v/>
      </c>
      <c r="V238" s="6">
        <f>IF(OR(M238="",E238=""),"",(M238-E238)/M238)</f>
        <v/>
      </c>
      <c r="W238" s="6">
        <f>IF(OR(O238="",E238=""),"",(O238-E238)/O238)</f>
        <v/>
      </c>
      <c r="X238" s="6">
        <f>IF(OR(Q238="",E238=""),"",(Q238-E238)/Q238)</f>
        <v/>
      </c>
      <c r="Y238" s="6">
        <f>IF(OR(S238="",E238=""),"",((S238*3500)-E238)/(S238*3500))</f>
        <v/>
      </c>
      <c r="Z238" s="7" t="n"/>
    </row>
    <row r="239">
      <c r="A239" s="2" t="inlineStr">
        <is>
          <t>LA EMPERATRIZ</t>
        </is>
      </c>
      <c r="B239" s="2" t="inlineStr">
        <is>
          <t>SOL Y LUNA SLEEP SHORT SLEEVELESS SHIRT</t>
        </is>
      </c>
      <c r="C239" s="2" t="inlineStr">
        <is>
          <t>274125/SOLN</t>
        </is>
      </c>
      <c r="D239" s="2" t="n">
        <v>8000</v>
      </c>
      <c r="E239" s="3" t="n">
        <v>21807.84375</v>
      </c>
      <c r="F239" s="4" t="n">
        <v>10185.03125</v>
      </c>
      <c r="G239" s="3">
        <f>IF(OR(E239="",F239=""),"",E239+F239)</f>
        <v/>
      </c>
      <c r="H239" s="3" t="n">
        <v>38071.52125</v>
      </c>
      <c r="I239" s="3" t="n">
        <v>95178.80312499999</v>
      </c>
      <c r="J239" s="3" t="n">
        <v>89950</v>
      </c>
      <c r="K239" s="3" t="n">
        <v>41573.52941176471</v>
      </c>
      <c r="L239" s="5" t="n">
        <v>0.2304508312698976</v>
      </c>
      <c r="M239" s="3" t="n">
        <v>52911.76470588235</v>
      </c>
      <c r="N239" s="5" t="n">
        <v>0.395354224569205</v>
      </c>
      <c r="O239" s="3" t="n">
        <v>53215.95999999999</v>
      </c>
      <c r="P239" s="5" t="n">
        <v>0.3988105260151277</v>
      </c>
      <c r="Q239" s="3" t="n">
        <v>37239.99999999999</v>
      </c>
      <c r="R239" s="5" t="n">
        <v>0.1409002416756175</v>
      </c>
      <c r="S239" s="3" t="n">
        <v>36.4</v>
      </c>
      <c r="T239" s="5" t="n">
        <v>0.7687039112203586</v>
      </c>
      <c r="U239" s="6">
        <f>IF(OR(K239="",E239=""),"",(K239-E239)/K239)</f>
        <v/>
      </c>
      <c r="V239" s="6">
        <f>IF(OR(M239="",E239=""),"",(M239-E239)/M239)</f>
        <v/>
      </c>
      <c r="W239" s="6">
        <f>IF(OR(O239="",E239=""),"",(O239-E239)/O239)</f>
        <v/>
      </c>
      <c r="X239" s="6">
        <f>IF(OR(Q239="",E239=""),"",(Q239-E239)/Q239)</f>
        <v/>
      </c>
      <c r="Y239" s="6">
        <f>IF(OR(S239="",E239=""),"",((S239*3500)-E239)/(S239*3500))</f>
        <v/>
      </c>
      <c r="Z239" s="7" t="n"/>
    </row>
    <row r="240">
      <c r="A240" s="2" t="inlineStr">
        <is>
          <t>LA EMPERATRIZ</t>
        </is>
      </c>
      <c r="B240" s="2" t="inlineStr">
        <is>
          <t>I'M IVORY RING BANDEAU TOP</t>
        </is>
      </c>
      <c r="C240" s="2" t="inlineStr">
        <is>
          <t>273141/IVRY</t>
        </is>
      </c>
      <c r="D240" s="2" t="n">
        <v>8000</v>
      </c>
      <c r="E240" s="3" t="n">
        <v>43790</v>
      </c>
      <c r="F240" s="4" t="n">
        <v>10185.03125</v>
      </c>
      <c r="G240" s="3">
        <f>IF(OR(E240="",F240=""),"",E240+F240)</f>
        <v/>
      </c>
      <c r="H240" s="3" t="n">
        <v>64230.2871875</v>
      </c>
      <c r="I240" s="3" t="n">
        <v>160575.71796875</v>
      </c>
      <c r="J240" s="3" t="n">
        <v>139900</v>
      </c>
      <c r="K240" s="3" t="n">
        <v>64659.66386554623</v>
      </c>
      <c r="L240" s="5" t="n">
        <v>0.1652441719734877</v>
      </c>
      <c r="M240" s="3" t="n">
        <v>82294.11764705883</v>
      </c>
      <c r="N240" s="5" t="n">
        <v>0.3441204208363117</v>
      </c>
      <c r="O240" s="3" t="n">
        <v>133039.9</v>
      </c>
      <c r="P240" s="5" t="n">
        <v>0.5942944090457073</v>
      </c>
      <c r="Q240" s="3" t="n">
        <v>93100</v>
      </c>
      <c r="R240" s="5" t="n">
        <v>0.4202467105263158</v>
      </c>
      <c r="S240" s="3" t="n">
        <v>91</v>
      </c>
      <c r="T240" s="5" t="n">
        <v>0.8439125759109312</v>
      </c>
      <c r="U240" s="6">
        <f>IF(OR(K240="",E240=""),"",(K240-E240)/K240)</f>
        <v/>
      </c>
      <c r="V240" s="6">
        <f>IF(OR(M240="",E240=""),"",(M240-E240)/M240)</f>
        <v/>
      </c>
      <c r="W240" s="6">
        <f>IF(OR(O240="",E240=""),"",(O240-E240)/O240)</f>
        <v/>
      </c>
      <c r="X240" s="6">
        <f>IF(OR(Q240="",E240=""),"",(Q240-E240)/Q240)</f>
        <v/>
      </c>
      <c r="Y240" s="6">
        <f>IF(OR(S240="",E240=""),"",((S240*3500)-E240)/(S240*3500))</f>
        <v/>
      </c>
      <c r="Z240" s="7" t="n"/>
    </row>
    <row r="241">
      <c r="A241" s="2" t="inlineStr">
        <is>
          <t>LA EMPERATRIZ</t>
        </is>
      </c>
      <c r="B241" s="2" t="inlineStr">
        <is>
          <t>I'M IVORY HIGH WAIST BOTTOM</t>
        </is>
      </c>
      <c r="C241" s="2" t="inlineStr">
        <is>
          <t>273223/IVRY</t>
        </is>
      </c>
      <c r="D241" s="2" t="n">
        <v>8000</v>
      </c>
      <c r="E241" s="3" t="n">
        <v>24960.90620689655</v>
      </c>
      <c r="F241" s="4" t="n">
        <v>10185.03125</v>
      </c>
      <c r="G241" s="3">
        <f>IF(OR(E241="",F241=""),"",E241+F241)</f>
        <v/>
      </c>
      <c r="H241" s="3" t="n">
        <v>41823.66557370689</v>
      </c>
      <c r="I241" s="3" t="n">
        <v>104559.1639342672</v>
      </c>
      <c r="J241" s="3" t="n">
        <v>109900</v>
      </c>
      <c r="K241" s="3" t="n">
        <v>50794.11764705883</v>
      </c>
      <c r="L241" s="5" t="n">
        <v>0.3080707159615039</v>
      </c>
      <c r="M241" s="3" t="n">
        <v>64647.05882352941</v>
      </c>
      <c r="N241" s="5" t="n">
        <v>0.4563412768268959</v>
      </c>
      <c r="O241" s="3" t="n">
        <v>98829.64</v>
      </c>
      <c r="P241" s="5" t="n">
        <v>0.6443785745157369</v>
      </c>
      <c r="Q241" s="3" t="n">
        <v>69160</v>
      </c>
      <c r="R241" s="5" t="n">
        <v>0.491816982982988</v>
      </c>
      <c r="S241" s="3" t="n">
        <v>67.60000000000001</v>
      </c>
      <c r="T241" s="5" t="n">
        <v>0.8631814954184968</v>
      </c>
      <c r="U241" s="6">
        <f>IF(OR(K241="",E241=""),"",(K241-E241)/K241)</f>
        <v/>
      </c>
      <c r="V241" s="6">
        <f>IF(OR(M241="",E241=""),"",(M241-E241)/M241)</f>
        <v/>
      </c>
      <c r="W241" s="6">
        <f>IF(OR(O241="",E241=""),"",(O241-E241)/O241)</f>
        <v/>
      </c>
      <c r="X241" s="6">
        <f>IF(OR(Q241="",E241=""),"",(Q241-E241)/Q241)</f>
        <v/>
      </c>
      <c r="Y241" s="6">
        <f>IF(OR(S241="",E241=""),"",((S241*3500)-E241)/(S241*3500))</f>
        <v/>
      </c>
      <c r="Z241" s="7" t="n"/>
    </row>
    <row r="242">
      <c r="A242" s="2" t="inlineStr">
        <is>
          <t>LA EMPERATRIZ</t>
        </is>
      </c>
      <c r="B242" s="2" t="inlineStr">
        <is>
          <t>I'M IVORY RING ONE SHOULDER ONE PIECE</t>
        </is>
      </c>
      <c r="C242" s="2" t="inlineStr">
        <is>
          <t>273374/IVRY</t>
        </is>
      </c>
      <c r="D242" s="2" t="n">
        <v>8000</v>
      </c>
      <c r="E242" s="3" t="n">
        <v>43072.76198630137</v>
      </c>
      <c r="F242" s="4" t="n">
        <v>10185.03125</v>
      </c>
      <c r="G242" s="3">
        <f>IF(OR(E242="",F242=""),"",E242+F242)</f>
        <v/>
      </c>
      <c r="H242" s="3" t="n">
        <v>63376.77395119862</v>
      </c>
      <c r="I242" s="3" t="n">
        <v>158441.9348779965</v>
      </c>
      <c r="J242" s="3" t="n">
        <v>199900</v>
      </c>
      <c r="K242" s="3" t="n">
        <v>92390.75630252103</v>
      </c>
      <c r="L242" s="5" t="n">
        <v>0.4235592891791476</v>
      </c>
      <c r="M242" s="3" t="n">
        <v>117588.2352941176</v>
      </c>
      <c r="N242" s="5" t="n">
        <v>0.5470822986407587</v>
      </c>
      <c r="O242" s="3" t="n">
        <v>209062.7</v>
      </c>
      <c r="P242" s="5" t="n">
        <v>0.7452544464588787</v>
      </c>
      <c r="Q242" s="3" t="n">
        <v>146300</v>
      </c>
      <c r="R242" s="5" t="n">
        <v>0.6359686039897378</v>
      </c>
      <c r="S242" s="3" t="n">
        <v>143</v>
      </c>
      <c r="T242" s="5" t="n">
        <v>0.9019915472280062</v>
      </c>
      <c r="U242" s="6">
        <f>IF(OR(K242="",E242=""),"",(K242-E242)/K242)</f>
        <v/>
      </c>
      <c r="V242" s="6">
        <f>IF(OR(M242="",E242=""),"",(M242-E242)/M242)</f>
        <v/>
      </c>
      <c r="W242" s="6">
        <f>IF(OR(O242="",E242=""),"",(O242-E242)/O242)</f>
        <v/>
      </c>
      <c r="X242" s="6">
        <f>IF(OR(Q242="",E242=""),"",(Q242-E242)/Q242)</f>
        <v/>
      </c>
      <c r="Y242" s="6">
        <f>IF(OR(S242="",E242=""),"",((S242*3500)-E242)/(S242*3500))</f>
        <v/>
      </c>
      <c r="Z242" s="7" t="n"/>
    </row>
    <row r="243">
      <c r="A243" s="2" t="inlineStr">
        <is>
          <t>LA EMPERATRIZ</t>
        </is>
      </c>
      <c r="B243" s="2" t="inlineStr">
        <is>
          <t>I'M IVORY MACRAME KNIT DRESS</t>
        </is>
      </c>
      <c r="C243" s="2" t="inlineStr">
        <is>
          <t>27VE32/IVRY</t>
        </is>
      </c>
      <c r="D243" s="2" t="n">
        <v>8000</v>
      </c>
      <c r="E243" s="3" t="n">
        <v>59360</v>
      </c>
      <c r="F243" s="4" t="n">
        <v>10185.03125</v>
      </c>
      <c r="G243" s="3">
        <f>IF(OR(E243="",F243=""),"",E243+F243)</f>
        <v/>
      </c>
      <c r="H243" s="3" t="n">
        <v>82758.5871875</v>
      </c>
      <c r="I243" s="3" t="n">
        <v>206896.46796875</v>
      </c>
      <c r="J243" s="3" t="n">
        <v>219900</v>
      </c>
      <c r="K243" s="3" t="n">
        <v>101634.4537815126</v>
      </c>
      <c r="L243" s="5" t="n">
        <v>0.315733703852991</v>
      </c>
      <c r="M243" s="3" t="n">
        <v>129352.9411764706</v>
      </c>
      <c r="N243" s="5" t="n">
        <v>0.462362195884493</v>
      </c>
      <c r="O243" s="3" t="n">
        <v>228068.4</v>
      </c>
      <c r="P243" s="5" t="n">
        <v>0.695069412290348</v>
      </c>
      <c r="Q243" s="3" t="n">
        <v>159600</v>
      </c>
      <c r="R243" s="5" t="n">
        <v>0.5642541901629072</v>
      </c>
      <c r="S243" s="3" t="n">
        <v>156</v>
      </c>
      <c r="T243" s="5" t="n">
        <v>0.882683820428475</v>
      </c>
      <c r="U243" s="6">
        <f>IF(OR(K243="",E243=""),"",(K243-E243)/K243)</f>
        <v/>
      </c>
      <c r="V243" s="6">
        <f>IF(OR(M243="",E243=""),"",(M243-E243)/M243)</f>
        <v/>
      </c>
      <c r="W243" s="6">
        <f>IF(OR(O243="",E243=""),"",(O243-E243)/O243)</f>
        <v/>
      </c>
      <c r="X243" s="6">
        <f>IF(OR(Q243="",E243=""),"",(Q243-E243)/Q243)</f>
        <v/>
      </c>
      <c r="Y243" s="6">
        <f>IF(OR(S243="",E243=""),"",((S243*3500)-E243)/(S243*3500))</f>
        <v/>
      </c>
      <c r="Z243" s="7" t="n"/>
    </row>
    <row r="244">
      <c r="A244" s="2" t="inlineStr">
        <is>
          <t>LA EMPERATRIZ</t>
        </is>
      </c>
      <c r="B244" s="2" t="inlineStr">
        <is>
          <t>I'M IVORY MACRAME KNIT HALTER TOP</t>
        </is>
      </c>
      <c r="C244" s="2" t="inlineStr">
        <is>
          <t>27CA39/IVRY</t>
        </is>
      </c>
      <c r="D244" s="2" t="n">
        <v>8000</v>
      </c>
      <c r="E244" s="3" t="n">
        <v>25774</v>
      </c>
      <c r="F244" s="4" t="n">
        <v>10185.03125</v>
      </c>
      <c r="G244" s="3">
        <f>IF(OR(E244="",F244=""),"",E244+F244)</f>
        <v/>
      </c>
      <c r="H244" s="3" t="n">
        <v>42791.2471875</v>
      </c>
      <c r="I244" s="3" t="n">
        <v>106978.11796875</v>
      </c>
      <c r="J244" s="3" t="n">
        <v>119900</v>
      </c>
      <c r="K244" s="3" t="n">
        <v>55415.96638655462</v>
      </c>
      <c r="L244" s="5" t="n">
        <v>0.3511070257411479</v>
      </c>
      <c r="M244" s="3" t="n">
        <v>70529.41176470587</v>
      </c>
      <c r="N244" s="5" t="n">
        <v>0.4901555202251876</v>
      </c>
      <c r="O244" s="3" t="n">
        <v>121636.48</v>
      </c>
      <c r="P244" s="5" t="n">
        <v>0.7043729705923749</v>
      </c>
      <c r="Q244" s="3" t="n">
        <v>85120</v>
      </c>
      <c r="R244" s="5" t="n">
        <v>0.5775489749765037</v>
      </c>
      <c r="S244" s="3" t="n">
        <v>83.2</v>
      </c>
      <c r="T244" s="5" t="n">
        <v>0.8862631855705971</v>
      </c>
      <c r="U244" s="6">
        <f>IF(OR(K244="",E244=""),"",(K244-E244)/K244)</f>
        <v/>
      </c>
      <c r="V244" s="6">
        <f>IF(OR(M244="",E244=""),"",(M244-E244)/M244)</f>
        <v/>
      </c>
      <c r="W244" s="6">
        <f>IF(OR(O244="",E244=""),"",(O244-E244)/O244)</f>
        <v/>
      </c>
      <c r="X244" s="6">
        <f>IF(OR(Q244="",E244=""),"",(Q244-E244)/Q244)</f>
        <v/>
      </c>
      <c r="Y244" s="6">
        <f>IF(OR(S244="",E244=""),"",((S244*3500)-E244)/(S244*3500))</f>
        <v/>
      </c>
      <c r="Z244" s="7" t="n"/>
    </row>
    <row r="245">
      <c r="A245" s="2" t="inlineStr">
        <is>
          <t>LA EMPERATRIZ</t>
        </is>
      </c>
      <c r="B245" s="2" t="inlineStr">
        <is>
          <t>I'M IVORY MACRAME KNIT LONG SKIRT</t>
        </is>
      </c>
      <c r="C245" s="2" t="inlineStr">
        <is>
          <t>27FA27/IVRY</t>
        </is>
      </c>
      <c r="D245" s="2" t="n">
        <v>8000</v>
      </c>
      <c r="E245" s="3" t="n">
        <v>45652</v>
      </c>
      <c r="F245" s="4" t="n">
        <v>10185.03125</v>
      </c>
      <c r="G245" s="3">
        <f>IF(OR(E245="",F245=""),"",E245+F245)</f>
        <v/>
      </c>
      <c r="H245" s="3" t="n">
        <v>66446.0671875</v>
      </c>
      <c r="I245" s="3" t="n">
        <v>166115.16796875</v>
      </c>
      <c r="J245" s="3" t="n">
        <v>159900</v>
      </c>
      <c r="K245" s="3" t="n">
        <v>73903.36134453783</v>
      </c>
      <c r="L245" s="5" t="n">
        <v>0.2444588414634148</v>
      </c>
      <c r="M245" s="3" t="n">
        <v>94058.82352941176</v>
      </c>
      <c r="N245" s="5" t="n">
        <v>0.4063605182926829</v>
      </c>
      <c r="O245" s="3" t="n">
        <v>190057</v>
      </c>
      <c r="P245" s="5" t="n">
        <v>0.7062090254502597</v>
      </c>
      <c r="Q245" s="3" t="n">
        <v>133000</v>
      </c>
      <c r="R245" s="5" t="n">
        <v>0.580172697368421</v>
      </c>
      <c r="S245" s="3" t="n">
        <v>130</v>
      </c>
      <c r="T245" s="5" t="n">
        <v>0.886969572368421</v>
      </c>
      <c r="U245" s="6">
        <f>IF(OR(K245="",E245=""),"",(K245-E245)/K245)</f>
        <v/>
      </c>
      <c r="V245" s="6">
        <f>IF(OR(M245="",E245=""),"",(M245-E245)/M245)</f>
        <v/>
      </c>
      <c r="W245" s="6">
        <f>IF(OR(O245="",E245=""),"",(O245-E245)/O245)</f>
        <v/>
      </c>
      <c r="X245" s="6">
        <f>IF(OR(Q245="",E245=""),"",(Q245-E245)/Q245)</f>
        <v/>
      </c>
      <c r="Y245" s="6">
        <f>IF(OR(S245="",E245=""),"",((S245*3500)-E245)/(S245*3500))</f>
        <v/>
      </c>
      <c r="Z245" s="7" t="n"/>
    </row>
    <row r="246">
      <c r="A246" s="2" t="inlineStr">
        <is>
          <t>LA EMPERATRIZ</t>
        </is>
      </c>
      <c r="B246" s="2" t="inlineStr">
        <is>
          <t>I'M IVORY RUCHED MAXI SKIRT</t>
        </is>
      </c>
      <c r="C246" s="2" t="inlineStr">
        <is>
          <t>27FA30/IVRY</t>
        </is>
      </c>
      <c r="D246" s="2" t="n">
        <v>8000</v>
      </c>
      <c r="E246" s="3" t="n">
        <v>30325</v>
      </c>
      <c r="F246" s="4" t="n">
        <v>10185.03125</v>
      </c>
      <c r="G246" s="3">
        <f>IF(OR(E246="",F246=""),"",E246+F246)</f>
        <v/>
      </c>
      <c r="H246" s="3" t="n">
        <v>48206.9371875</v>
      </c>
      <c r="I246" s="3" t="n">
        <v>120517.34296875</v>
      </c>
      <c r="J246" s="3" t="n">
        <v>129900</v>
      </c>
      <c r="K246" s="3" t="n">
        <v>60037.81512605043</v>
      </c>
      <c r="L246" s="5" t="n">
        <v>0.3252580700188958</v>
      </c>
      <c r="M246" s="3" t="n">
        <v>76411.76470588235</v>
      </c>
      <c r="N246" s="5" t="n">
        <v>0.469845626443418</v>
      </c>
      <c r="O246" s="3" t="n">
        <v>144443.32</v>
      </c>
      <c r="P246" s="5" t="n">
        <v>0.7195437542559946</v>
      </c>
      <c r="Q246" s="3" t="n">
        <v>101080</v>
      </c>
      <c r="R246" s="5" t="n">
        <v>0.5992280248318164</v>
      </c>
      <c r="S246" s="3" t="n">
        <v>98.8</v>
      </c>
      <c r="T246" s="5" t="n">
        <v>0.8920998528393351</v>
      </c>
      <c r="U246" s="6">
        <f>IF(OR(K246="",E246=""),"",(K246-E246)/K246)</f>
        <v/>
      </c>
      <c r="V246" s="6">
        <f>IF(OR(M246="",E246=""),"",(M246-E246)/M246)</f>
        <v/>
      </c>
      <c r="W246" s="6">
        <f>IF(OR(O246="",E246=""),"",(O246-E246)/O246)</f>
        <v/>
      </c>
      <c r="X246" s="6">
        <f>IF(OR(Q246="",E246=""),"",(Q246-E246)/Q246)</f>
        <v/>
      </c>
      <c r="Y246" s="6">
        <f>IF(OR(S246="",E246=""),"",((S246*3500)-E246)/(S246*3500))</f>
        <v/>
      </c>
      <c r="Z246" s="7" t="n"/>
    </row>
    <row r="247">
      <c r="A247" s="2" t="inlineStr">
        <is>
          <t>LA EMPERATRIZ</t>
        </is>
      </c>
      <c r="B247" s="2" t="inlineStr">
        <is>
          <t>I'M WHITE ESSENTIAL TOP</t>
        </is>
      </c>
      <c r="C247" s="2" t="inlineStr">
        <is>
          <t>275120/WHT</t>
        </is>
      </c>
      <c r="D247" s="2" t="n">
        <v>8000</v>
      </c>
      <c r="E247" s="3" t="n">
        <v>16457</v>
      </c>
      <c r="F247" s="4" t="n">
        <v>10185.03125</v>
      </c>
      <c r="G247" s="3">
        <f>IF(OR(E247="",F247=""),"",E247+F247)</f>
        <v/>
      </c>
      <c r="H247" s="3" t="n">
        <v>31704.0171875</v>
      </c>
      <c r="I247" s="3" t="n">
        <v>79260.04296875</v>
      </c>
      <c r="J247" s="3" t="n">
        <v>59900</v>
      </c>
      <c r="K247" s="3" t="n">
        <v>27684.87394957984</v>
      </c>
      <c r="L247" s="5" t="n">
        <v>0.03766832030657171</v>
      </c>
      <c r="M247" s="3" t="n">
        <v>35235.29411764706</v>
      </c>
      <c r="N247" s="5" t="n">
        <v>0.243882251669449</v>
      </c>
      <c r="O247" s="3" t="n">
        <v>57017.1</v>
      </c>
      <c r="P247" s="5" t="n">
        <v>0.5327361221458123</v>
      </c>
      <c r="Q247" s="3" t="n">
        <v>39900</v>
      </c>
      <c r="R247" s="5" t="n">
        <v>0.3322799185463659</v>
      </c>
      <c r="S247" s="3" t="n">
        <v>39</v>
      </c>
      <c r="T247" s="5" t="n">
        <v>0.8202292088394062</v>
      </c>
      <c r="U247" s="6">
        <f>IF(OR(K247="",E247=""),"",(K247-E247)/K247)</f>
        <v/>
      </c>
      <c r="V247" s="6">
        <f>IF(OR(M247="",E247=""),"",(M247-E247)/M247)</f>
        <v/>
      </c>
      <c r="W247" s="6">
        <f>IF(OR(O247="",E247=""),"",(O247-E247)/O247)</f>
        <v/>
      </c>
      <c r="X247" s="6">
        <f>IF(OR(Q247="",E247=""),"",(Q247-E247)/Q247)</f>
        <v/>
      </c>
      <c r="Y247" s="6">
        <f>IF(OR(S247="",E247=""),"",((S247*3500)-E247)/(S247*3500))</f>
        <v/>
      </c>
      <c r="Z247" s="7" t="n"/>
    </row>
    <row r="248">
      <c r="A248" s="2" t="inlineStr">
        <is>
          <t>LA EMPERATRIZ</t>
        </is>
      </c>
      <c r="B248" s="2" t="inlineStr">
        <is>
          <t>EMPERATRIZ TRIANGLE TOP</t>
        </is>
      </c>
      <c r="C248" s="2" t="inlineStr">
        <is>
          <t>273135/EMPZ</t>
        </is>
      </c>
      <c r="D248" s="2" t="n">
        <v>8000</v>
      </c>
      <c r="E248" s="3" t="n">
        <v>30076</v>
      </c>
      <c r="F248" s="4" t="n">
        <v>10185.03125</v>
      </c>
      <c r="G248" s="3">
        <f>IF(OR(E248="",F248=""),"",E248+F248)</f>
        <v/>
      </c>
      <c r="H248" s="3" t="n">
        <v>47910.62718749999</v>
      </c>
      <c r="I248" s="3" t="n">
        <v>119776.56796875</v>
      </c>
      <c r="J248" s="3" t="n">
        <v>109900</v>
      </c>
      <c r="K248" s="3" t="n">
        <v>50794.11764705883</v>
      </c>
      <c r="L248" s="5" t="n">
        <v>0.2073682324840765</v>
      </c>
      <c r="M248" s="3" t="n">
        <v>64647.05882352941</v>
      </c>
      <c r="N248" s="5" t="n">
        <v>0.3772178969517743</v>
      </c>
      <c r="O248" s="3" t="n">
        <v>98829.64</v>
      </c>
      <c r="P248" s="5" t="n">
        <v>0.5926218971353129</v>
      </c>
      <c r="Q248" s="3" t="n">
        <v>69160</v>
      </c>
      <c r="R248" s="5" t="n">
        <v>0.4178566910063621</v>
      </c>
      <c r="S248" s="3" t="n">
        <v>67.60000000000001</v>
      </c>
      <c r="T248" s="5" t="n">
        <v>0.8432691091170975</v>
      </c>
      <c r="U248" s="6">
        <f>IF(OR(K248="",E248=""),"",(K248-E248)/K248)</f>
        <v/>
      </c>
      <c r="V248" s="6">
        <f>IF(OR(M248="",E248=""),"",(M248-E248)/M248)</f>
        <v/>
      </c>
      <c r="W248" s="6">
        <f>IF(OR(O248="",E248=""),"",(O248-E248)/O248)</f>
        <v/>
      </c>
      <c r="X248" s="6">
        <f>IF(OR(Q248="",E248=""),"",(Q248-E248)/Q248)</f>
        <v/>
      </c>
      <c r="Y248" s="6">
        <f>IF(OR(S248="",E248=""),"",((S248*3500)-E248)/(S248*3500))</f>
        <v/>
      </c>
      <c r="Z248" s="7" t="n"/>
    </row>
    <row r="249">
      <c r="A249" s="2" t="inlineStr">
        <is>
          <t>LA EMPERATRIZ</t>
        </is>
      </c>
      <c r="B249" s="2" t="inlineStr">
        <is>
          <t>EMPERATRIZ STRAP TIE SIDE BOTTOM</t>
        </is>
      </c>
      <c r="C249" s="2" t="inlineStr">
        <is>
          <t>273236/EMPZ</t>
        </is>
      </c>
      <c r="D249" s="2" t="n">
        <v>8000</v>
      </c>
      <c r="E249" s="3" t="n">
        <v>31458</v>
      </c>
      <c r="F249" s="4" t="n">
        <v>10185.03125</v>
      </c>
      <c r="G249" s="3">
        <f>IF(OR(E249="",F249=""),"",E249+F249)</f>
        <v/>
      </c>
      <c r="H249" s="3" t="n">
        <v>49555.2071875</v>
      </c>
      <c r="I249" s="3" t="n">
        <v>123888.01796875</v>
      </c>
      <c r="J249" s="3" t="n">
        <v>119900</v>
      </c>
      <c r="K249" s="3" t="n">
        <v>55415.96638655462</v>
      </c>
      <c r="L249" s="5" t="n">
        <v>0.2485373085525817</v>
      </c>
      <c r="M249" s="3" t="n">
        <v>70529.41176470587</v>
      </c>
      <c r="N249" s="5" t="n">
        <v>0.409565028148457</v>
      </c>
      <c r="O249" s="3" t="n">
        <v>98829.64</v>
      </c>
      <c r="P249" s="5" t="n">
        <v>0.5786382379820467</v>
      </c>
      <c r="Q249" s="3" t="n">
        <v>69160</v>
      </c>
      <c r="R249" s="5" t="n">
        <v>0.3978740420763447</v>
      </c>
      <c r="S249" s="3" t="n">
        <v>67.60000000000001</v>
      </c>
      <c r="T249" s="5" t="n">
        <v>0.8378891651744005</v>
      </c>
      <c r="U249" s="6">
        <f>IF(OR(K249="",E249=""),"",(K249-E249)/K249)</f>
        <v/>
      </c>
      <c r="V249" s="6">
        <f>IF(OR(M249="",E249=""),"",(M249-E249)/M249)</f>
        <v/>
      </c>
      <c r="W249" s="6">
        <f>IF(OR(O249="",E249=""),"",(O249-E249)/O249)</f>
        <v/>
      </c>
      <c r="X249" s="6">
        <f>IF(OR(Q249="",E249=""),"",(Q249-E249)/Q249)</f>
        <v/>
      </c>
      <c r="Y249" s="6">
        <f>IF(OR(S249="",E249=""),"",((S249*3500)-E249)/(S249*3500))</f>
        <v/>
      </c>
      <c r="Z249" s="7" t="n"/>
    </row>
    <row r="250">
      <c r="A250" s="2" t="inlineStr">
        <is>
          <t>LA EMPERATRIZ</t>
        </is>
      </c>
      <c r="B250" s="2" t="inlineStr">
        <is>
          <t>EMPERATRIZ SPORTY TOP</t>
        </is>
      </c>
      <c r="C250" s="2" t="inlineStr">
        <is>
          <t>273145/EMPZ</t>
        </is>
      </c>
      <c r="D250" s="2" t="n">
        <v>8000</v>
      </c>
      <c r="E250" s="3" t="n">
        <v>29721</v>
      </c>
      <c r="F250" s="4" t="n">
        <v>10185.03125</v>
      </c>
      <c r="G250" s="3">
        <f>IF(OR(E250="",F250=""),"",E250+F250)</f>
        <v/>
      </c>
      <c r="H250" s="3" t="n">
        <v>47488.1771875</v>
      </c>
      <c r="I250" s="3" t="n">
        <v>118720.44296875</v>
      </c>
      <c r="J250" s="3" t="n">
        <v>129900</v>
      </c>
      <c r="K250" s="3" t="n">
        <v>60037.81512605043</v>
      </c>
      <c r="L250" s="5" t="n">
        <v>0.335318396143887</v>
      </c>
      <c r="M250" s="3" t="n">
        <v>76411.76470588235</v>
      </c>
      <c r="N250" s="5" t="n">
        <v>0.4777501683987683</v>
      </c>
      <c r="O250" s="3" t="n">
        <v>114034.2</v>
      </c>
      <c r="P250" s="5" t="n">
        <v>0.6500520786746432</v>
      </c>
      <c r="Q250" s="3" t="n">
        <v>79800</v>
      </c>
      <c r="R250" s="5" t="n">
        <v>0.4999244204260652</v>
      </c>
      <c r="S250" s="3" t="n">
        <v>78</v>
      </c>
      <c r="T250" s="5" t="n">
        <v>0.8653642670377868</v>
      </c>
      <c r="U250" s="6">
        <f>IF(OR(K250="",E250=""),"",(K250-E250)/K250)</f>
        <v/>
      </c>
      <c r="V250" s="6">
        <f>IF(OR(M250="",E250=""),"",(M250-E250)/M250)</f>
        <v/>
      </c>
      <c r="W250" s="6">
        <f>IF(OR(O250="",E250=""),"",(O250-E250)/O250)</f>
        <v/>
      </c>
      <c r="X250" s="6">
        <f>IF(OR(Q250="",E250=""),"",(Q250-E250)/Q250)</f>
        <v/>
      </c>
      <c r="Y250" s="6">
        <f>IF(OR(S250="",E250=""),"",((S250*3500)-E250)/(S250*3500))</f>
        <v/>
      </c>
      <c r="Z250" s="7" t="n"/>
    </row>
    <row r="251">
      <c r="A251" s="2" t="inlineStr">
        <is>
          <t>LA EMPERATRIZ</t>
        </is>
      </c>
      <c r="B251" s="2" t="inlineStr">
        <is>
          <t>EMPERATRIZ HIGH WAIST BOTTOM</t>
        </is>
      </c>
      <c r="C251" s="2" t="inlineStr">
        <is>
          <t>273223/EMPZ</t>
        </is>
      </c>
      <c r="D251" s="2" t="n">
        <v>8000</v>
      </c>
      <c r="E251" s="3" t="n">
        <v>21976.61</v>
      </c>
      <c r="F251" s="4" t="n">
        <v>10185.03125</v>
      </c>
      <c r="G251" s="3">
        <f>IF(OR(E251="",F251=""),"",E251+F251)</f>
        <v/>
      </c>
      <c r="H251" s="3" t="n">
        <v>38272.3530875</v>
      </c>
      <c r="I251" s="3" t="n">
        <v>95680.88271874998</v>
      </c>
      <c r="J251" s="3" t="n">
        <v>109900</v>
      </c>
      <c r="K251" s="3" t="n">
        <v>50794.11764705883</v>
      </c>
      <c r="L251" s="5" t="n">
        <v>0.3668235075275044</v>
      </c>
      <c r="M251" s="3" t="n">
        <v>64647.05882352941</v>
      </c>
      <c r="N251" s="5" t="n">
        <v>0.5025041844858962</v>
      </c>
      <c r="O251" s="3" t="n">
        <v>98829.64</v>
      </c>
      <c r="P251" s="5" t="n">
        <v>0.6745749428005606</v>
      </c>
      <c r="Q251" s="3" t="n">
        <v>69160</v>
      </c>
      <c r="R251" s="5" t="n">
        <v>0.5349675932620012</v>
      </c>
      <c r="S251" s="3" t="n">
        <v>67.60000000000001</v>
      </c>
      <c r="T251" s="5" t="n">
        <v>0.8747989674166926</v>
      </c>
      <c r="U251" s="6">
        <f>IF(OR(K251="",E251=""),"",(K251-E251)/K251)</f>
        <v/>
      </c>
      <c r="V251" s="6">
        <f>IF(OR(M251="",E251=""),"",(M251-E251)/M251)</f>
        <v/>
      </c>
      <c r="W251" s="6">
        <f>IF(OR(O251="",E251=""),"",(O251-E251)/O251)</f>
        <v/>
      </c>
      <c r="X251" s="6">
        <f>IF(OR(Q251="",E251=""),"",(Q251-E251)/Q251)</f>
        <v/>
      </c>
      <c r="Y251" s="6">
        <f>IF(OR(S251="",E251=""),"",((S251*3500)-E251)/(S251*3500))</f>
        <v/>
      </c>
      <c r="Z251" s="7" t="n"/>
    </row>
    <row r="252">
      <c r="A252" s="2" t="inlineStr">
        <is>
          <t>LA EMPERATRIZ</t>
        </is>
      </c>
      <c r="B252" s="2" t="inlineStr">
        <is>
          <t>EMPERATRIZ STRAIGHT ONE PIECE</t>
        </is>
      </c>
      <c r="C252" s="2" t="inlineStr">
        <is>
          <t>273370/EMPZ</t>
        </is>
      </c>
      <c r="D252" s="2" t="n">
        <v>8000</v>
      </c>
      <c r="E252" s="3" t="n">
        <v>41826.0998</v>
      </c>
      <c r="F252" s="4" t="n">
        <v>10185.03125</v>
      </c>
      <c r="G252" s="3">
        <f>IF(OR(E252="",F252=""),"",E252+F252)</f>
        <v/>
      </c>
      <c r="H252" s="3" t="n">
        <v>61893.2459495</v>
      </c>
      <c r="I252" s="3" t="n">
        <v>154733.11487375</v>
      </c>
      <c r="J252" s="3" t="n">
        <v>189900</v>
      </c>
      <c r="K252" s="3" t="n">
        <v>87768.90756302522</v>
      </c>
      <c r="L252" s="5" t="n">
        <v>0.4074082440566806</v>
      </c>
      <c r="M252" s="3" t="n">
        <v>111705.8823529412</v>
      </c>
      <c r="N252" s="5" t="n">
        <v>0.5343921917588204</v>
      </c>
      <c r="O252" s="3" t="n">
        <v>190057</v>
      </c>
      <c r="P252" s="5" t="n">
        <v>0.7263393032090373</v>
      </c>
      <c r="Q252" s="3" t="n">
        <v>133000</v>
      </c>
      <c r="R252" s="5" t="n">
        <v>0.6089388642857143</v>
      </c>
      <c r="S252" s="3" t="n">
        <v>130</v>
      </c>
      <c r="T252" s="5" t="n">
        <v>0.8947143096153846</v>
      </c>
      <c r="U252" s="6">
        <f>IF(OR(K252="",E252=""),"",(K252-E252)/K252)</f>
        <v/>
      </c>
      <c r="V252" s="6">
        <f>IF(OR(M252="",E252=""),"",(M252-E252)/M252)</f>
        <v/>
      </c>
      <c r="W252" s="6">
        <f>IF(OR(O252="",E252=""),"",(O252-E252)/O252)</f>
        <v/>
      </c>
      <c r="X252" s="6">
        <f>IF(OR(Q252="",E252=""),"",(Q252-E252)/Q252)</f>
        <v/>
      </c>
      <c r="Y252" s="6">
        <f>IF(OR(S252="",E252=""),"",((S252*3500)-E252)/(S252*3500))</f>
        <v/>
      </c>
      <c r="Z252" s="7" t="n"/>
    </row>
    <row r="253">
      <c r="A253" s="2" t="inlineStr">
        <is>
          <t>LA EMPERATRIZ</t>
        </is>
      </c>
      <c r="B253" s="2" t="inlineStr">
        <is>
          <t>EMPERATRIZ ONE SHOULDER ONE PIECE</t>
        </is>
      </c>
      <c r="C253" s="2" t="inlineStr">
        <is>
          <t>273326/EMPZ</t>
        </is>
      </c>
      <c r="D253" s="2" t="n">
        <v>8000</v>
      </c>
      <c r="E253" s="3" t="n">
        <v>50818.26518928901</v>
      </c>
      <c r="F253" s="4" t="n">
        <v>10185.03125</v>
      </c>
      <c r="G253" s="3">
        <f>IF(OR(E253="",F253=""),"",E253+F253)</f>
        <v/>
      </c>
      <c r="H253" s="3" t="n">
        <v>72593.92276275392</v>
      </c>
      <c r="I253" s="3" t="n">
        <v>181484.8069068848</v>
      </c>
      <c r="J253" s="3" t="n">
        <v>199900</v>
      </c>
      <c r="K253" s="3" t="n">
        <v>92390.75630252103</v>
      </c>
      <c r="L253" s="5" t="n">
        <v>0.3397251101664113</v>
      </c>
      <c r="M253" s="3" t="n">
        <v>117588.2352941176</v>
      </c>
      <c r="N253" s="5" t="n">
        <v>0.481212586559323</v>
      </c>
      <c r="O253" s="3" t="n">
        <v>197659.28</v>
      </c>
      <c r="P253" s="5" t="n">
        <v>0.6913714527378172</v>
      </c>
      <c r="Q253" s="3" t="n">
        <v>138320</v>
      </c>
      <c r="R253" s="5" t="n">
        <v>0.5589698059623408</v>
      </c>
      <c r="S253" s="3" t="n">
        <v>135.2</v>
      </c>
      <c r="T253" s="5" t="n">
        <v>0.8812611016052456</v>
      </c>
      <c r="U253" s="6">
        <f>IF(OR(K253="",E253=""),"",(K253-E253)/K253)</f>
        <v/>
      </c>
      <c r="V253" s="6">
        <f>IF(OR(M253="",E253=""),"",(M253-E253)/M253)</f>
        <v/>
      </c>
      <c r="W253" s="6">
        <f>IF(OR(O253="",E253=""),"",(O253-E253)/O253)</f>
        <v/>
      </c>
      <c r="X253" s="6">
        <f>IF(OR(Q253="",E253=""),"",(Q253-E253)/Q253)</f>
        <v/>
      </c>
      <c r="Y253" s="6">
        <f>IF(OR(S253="",E253=""),"",((S253*3500)-E253)/(S253*3500))</f>
        <v/>
      </c>
      <c r="Z253" s="7" t="n"/>
    </row>
    <row r="254">
      <c r="A254" s="2" t="inlineStr">
        <is>
          <t>LA EMPERATRIZ</t>
        </is>
      </c>
      <c r="B254" s="2" t="inlineStr">
        <is>
          <t>EMPERATRIZ PAREO</t>
        </is>
      </c>
      <c r="C254" s="2" t="inlineStr">
        <is>
          <t>27RE22/EMPZ</t>
        </is>
      </c>
      <c r="D254" s="2" t="n">
        <v>8000</v>
      </c>
      <c r="E254" s="3" t="n">
        <v>22789.02857142857</v>
      </c>
      <c r="F254" s="4" t="n">
        <v>10185.03125</v>
      </c>
      <c r="G254" s="3">
        <f>IF(OR(E254="",F254=""),"",E254+F254)</f>
        <v/>
      </c>
      <c r="H254" s="3" t="n">
        <v>39239.1311875</v>
      </c>
      <c r="I254" s="3" t="n">
        <v>98097.82796874999</v>
      </c>
      <c r="J254" s="3" t="n">
        <v>139900</v>
      </c>
      <c r="K254" s="3" t="n">
        <v>64659.66386554623</v>
      </c>
      <c r="L254" s="5" t="n">
        <v>0.4900366341217754</v>
      </c>
      <c r="M254" s="3" t="n">
        <v>82294.11764705883</v>
      </c>
      <c r="N254" s="5" t="n">
        <v>0.5993144982385378</v>
      </c>
      <c r="O254" s="3" t="n">
        <v>136841.04</v>
      </c>
      <c r="P254" s="5" t="n">
        <v>0.7590338408606908</v>
      </c>
      <c r="Q254" s="3" t="n">
        <v>95760</v>
      </c>
      <c r="R254" s="5" t="n">
        <v>0.6556593585899272</v>
      </c>
      <c r="S254" s="3" t="n">
        <v>93.60000000000001</v>
      </c>
      <c r="T254" s="5" t="n">
        <v>0.9072929042357497</v>
      </c>
      <c r="U254" s="6">
        <f>IF(OR(K254="",E254=""),"",(K254-E254)/K254)</f>
        <v/>
      </c>
      <c r="V254" s="6">
        <f>IF(OR(M254="",E254=""),"",(M254-E254)/M254)</f>
        <v/>
      </c>
      <c r="W254" s="6">
        <f>IF(OR(O254="",E254=""),"",(O254-E254)/O254)</f>
        <v/>
      </c>
      <c r="X254" s="6">
        <f>IF(OR(Q254="",E254=""),"",(Q254-E254)/Q254)</f>
        <v/>
      </c>
      <c r="Y254" s="6">
        <f>IF(OR(S254="",E254=""),"",((S254*3500)-E254)/(S254*3500))</f>
        <v/>
      </c>
      <c r="Z254" s="7" t="n"/>
    </row>
    <row r="255">
      <c r="A255" s="2" t="inlineStr">
        <is>
          <t>LA EMPERATRIZ</t>
        </is>
      </c>
      <c r="B255" s="2" t="inlineStr">
        <is>
          <t>EMPERATRIZ TOWEL</t>
        </is>
      </c>
      <c r="C255" s="2" t="inlineStr">
        <is>
          <t>27TO27/EMPZ</t>
        </is>
      </c>
      <c r="D255" s="2" t="n">
        <v>8000</v>
      </c>
      <c r="E255" s="3" t="n">
        <v>30842</v>
      </c>
      <c r="F255" s="4" t="n">
        <v>10185.03125</v>
      </c>
      <c r="G255" s="3">
        <f>IF(OR(E255="",F255=""),"",E255+F255)</f>
        <v/>
      </c>
      <c r="H255" s="3" t="n">
        <v>48822.1671875</v>
      </c>
      <c r="I255" s="3" t="n">
        <v>122055.41796875</v>
      </c>
      <c r="J255" s="3" t="n">
        <v>89900</v>
      </c>
      <c r="K255" s="3" t="n">
        <v>41550.42016806723</v>
      </c>
      <c r="L255" s="5" t="n">
        <v>0.01259647714632437</v>
      </c>
      <c r="M255" s="3" t="n">
        <v>52882.35294117647</v>
      </c>
      <c r="N255" s="5" t="n">
        <v>0.2241829463292547</v>
      </c>
      <c r="O255" s="3" t="n">
        <v>106431.92</v>
      </c>
      <c r="P255" s="5" t="n">
        <v>0.6145232440606163</v>
      </c>
      <c r="Q255" s="3" t="n">
        <v>74479.99999999999</v>
      </c>
      <c r="R255" s="5" t="n">
        <v>0.4491537157626208</v>
      </c>
      <c r="S255" s="3" t="n">
        <v>72.8</v>
      </c>
      <c r="T255" s="5" t="n">
        <v>0.8516952311668594</v>
      </c>
      <c r="U255" s="6">
        <f>IF(OR(K255="",E255=""),"",(K255-E255)/K255)</f>
        <v/>
      </c>
      <c r="V255" s="6">
        <f>IF(OR(M255="",E255=""),"",(M255-E255)/M255)</f>
        <v/>
      </c>
      <c r="W255" s="6">
        <f>IF(OR(O255="",E255=""),"",(O255-E255)/O255)</f>
        <v/>
      </c>
      <c r="X255" s="6">
        <f>IF(OR(Q255="",E255=""),"",(Q255-E255)/Q255)</f>
        <v/>
      </c>
      <c r="Y255" s="6">
        <f>IF(OR(S255="",E255=""),"",((S255*3500)-E255)/(S255*3500))</f>
        <v/>
      </c>
      <c r="Z255" s="7" t="n"/>
    </row>
    <row r="256">
      <c r="A256" s="2" t="inlineStr">
        <is>
          <t>LA EMPERATRIZ</t>
        </is>
      </c>
      <c r="B256" s="2" t="inlineStr">
        <is>
          <t>EMPERATRIZ T-SHIRT</t>
        </is>
      </c>
      <c r="C256" s="2" t="inlineStr">
        <is>
          <t>27TSH20/EMPZ</t>
        </is>
      </c>
      <c r="D256" s="2" t="n">
        <v>8000</v>
      </c>
      <c r="E256" s="3" t="n">
        <v>35411.6</v>
      </c>
      <c r="F256" s="4" t="n">
        <v>10185.03125</v>
      </c>
      <c r="G256" s="3">
        <f>IF(OR(E256="",F256=""),"",E256+F256)</f>
        <v/>
      </c>
      <c r="H256" s="3" t="n">
        <v>54259.9911875</v>
      </c>
      <c r="I256" s="3" t="n">
        <v>135649.97796875</v>
      </c>
      <c r="J256" s="3" t="n">
        <v>129900</v>
      </c>
      <c r="K256" s="3" t="n">
        <v>60037.81512605043</v>
      </c>
      <c r="L256" s="5" t="n">
        <v>0.2405348003709148</v>
      </c>
      <c r="M256" s="3" t="n">
        <v>76411.76470588235</v>
      </c>
      <c r="N256" s="5" t="n">
        <v>0.4032773431485758</v>
      </c>
      <c r="O256" s="3" t="n">
        <v>129238.76</v>
      </c>
      <c r="P256" s="5" t="n">
        <v>0.6471907402237532</v>
      </c>
      <c r="Q256" s="3" t="n">
        <v>90439.99999999999</v>
      </c>
      <c r="R256" s="5" t="n">
        <v>0.4958355677797434</v>
      </c>
      <c r="S256" s="3" t="n">
        <v>88.40000000000001</v>
      </c>
      <c r="T256" s="5" t="n">
        <v>0.8642634220945464</v>
      </c>
      <c r="U256" s="6">
        <f>IF(OR(K256="",E256=""),"",(K256-E256)/K256)</f>
        <v/>
      </c>
      <c r="V256" s="6">
        <f>IF(OR(M256="",E256=""),"",(M256-E256)/M256)</f>
        <v/>
      </c>
      <c r="W256" s="6">
        <f>IF(OR(O256="",E256=""),"",(O256-E256)/O256)</f>
        <v/>
      </c>
      <c r="X256" s="6">
        <f>IF(OR(Q256="",E256=""),"",(Q256-E256)/Q256)</f>
        <v/>
      </c>
      <c r="Y256" s="6">
        <f>IF(OR(S256="",E256=""),"",((S256*3500)-E256)/(S256*3500))</f>
        <v/>
      </c>
      <c r="Z256" s="7" t="n"/>
    </row>
    <row r="257">
      <c r="A257" s="2" t="inlineStr">
        <is>
          <t>LA EMPERATRIZ</t>
        </is>
      </c>
      <c r="B257" s="2" t="inlineStr">
        <is>
          <t>EMPERATRIZ SHIRT</t>
        </is>
      </c>
      <c r="C257" s="2" t="inlineStr">
        <is>
          <t>27CA21/EMPZ</t>
        </is>
      </c>
      <c r="D257" s="2" t="n">
        <v>8000</v>
      </c>
      <c r="E257" s="3" t="n">
        <v>47099</v>
      </c>
      <c r="F257" s="4" t="n">
        <v>10185.03125</v>
      </c>
      <c r="G257" s="3">
        <f>IF(OR(E257="",F257=""),"",E257+F257)</f>
        <v/>
      </c>
      <c r="H257" s="3" t="n">
        <v>68167.99718749999</v>
      </c>
      <c r="I257" s="3" t="n">
        <v>170419.99296875</v>
      </c>
      <c r="J257" s="3" t="n">
        <v>169000</v>
      </c>
      <c r="K257" s="3" t="n">
        <v>78109.24369747899</v>
      </c>
      <c r="L257" s="5" t="n">
        <v>0.2666164907208176</v>
      </c>
      <c r="M257" s="3" t="n">
        <v>99411.76470588235</v>
      </c>
      <c r="N257" s="5" t="n">
        <v>0.423770099852071</v>
      </c>
      <c r="O257" s="3" t="n">
        <v>174852.44</v>
      </c>
      <c r="P257" s="5" t="n">
        <v>0.6723864348132631</v>
      </c>
      <c r="Q257" s="3" t="n">
        <v>122360</v>
      </c>
      <c r="R257" s="5" t="n">
        <v>0.531840215348153</v>
      </c>
      <c r="S257" s="3" t="n">
        <v>119.6</v>
      </c>
      <c r="T257" s="5" t="n">
        <v>0.873956981055272</v>
      </c>
      <c r="U257" s="6">
        <f>IF(OR(K257="",E257=""),"",(K257-E257)/K257)</f>
        <v/>
      </c>
      <c r="V257" s="6">
        <f>IF(OR(M257="",E257=""),"",(M257-E257)/M257)</f>
        <v/>
      </c>
      <c r="W257" s="6">
        <f>IF(OR(O257="",E257=""),"",(O257-E257)/O257)</f>
        <v/>
      </c>
      <c r="X257" s="6">
        <f>IF(OR(Q257="",E257=""),"",(Q257-E257)/Q257)</f>
        <v/>
      </c>
      <c r="Y257" s="6">
        <f>IF(OR(S257="",E257=""),"",((S257*3500)-E257)/(S257*3500))</f>
        <v/>
      </c>
      <c r="Z257" s="7" t="n"/>
    </row>
    <row r="258">
      <c r="A258" s="2" t="inlineStr">
        <is>
          <t>LA EMPERATRIZ</t>
        </is>
      </c>
      <c r="B258" s="2" t="inlineStr">
        <is>
          <t>EMPERATRIZ WRAP SKORT</t>
        </is>
      </c>
      <c r="C258" s="2" t="inlineStr">
        <is>
          <t>27FA25/EMPZ</t>
        </is>
      </c>
      <c r="D258" s="2" t="n">
        <v>8000</v>
      </c>
      <c r="E258" s="3" t="n">
        <v>36274</v>
      </c>
      <c r="F258" s="4" t="n">
        <v>10185.03125</v>
      </c>
      <c r="G258" s="3">
        <f>IF(OR(E258="",F258=""),"",E258+F258)</f>
        <v/>
      </c>
      <c r="H258" s="3" t="n">
        <v>55286.2471875</v>
      </c>
      <c r="I258" s="3" t="n">
        <v>138215.61796875</v>
      </c>
      <c r="J258" s="3" t="n">
        <v>139900</v>
      </c>
      <c r="K258" s="3" t="n">
        <v>64659.66386554623</v>
      </c>
      <c r="L258" s="5" t="n">
        <v>0.2814835637468323</v>
      </c>
      <c r="M258" s="3" t="n">
        <v>82294.11764705883</v>
      </c>
      <c r="N258" s="5" t="n">
        <v>0.4354513715153681</v>
      </c>
      <c r="O258" s="3" t="n">
        <v>167250.16</v>
      </c>
      <c r="P258" s="5" t="n">
        <v>0.7222183150676806</v>
      </c>
      <c r="Q258" s="3" t="n">
        <v>117040</v>
      </c>
      <c r="R258" s="5" t="n">
        <v>0.6030499722317156</v>
      </c>
      <c r="S258" s="3" t="n">
        <v>114.4</v>
      </c>
      <c r="T258" s="5" t="n">
        <v>0.8931288386777696</v>
      </c>
      <c r="U258" s="6">
        <f>IF(OR(K258="",E258=""),"",(K258-E258)/K258)</f>
        <v/>
      </c>
      <c r="V258" s="6">
        <f>IF(OR(M258="",E258=""),"",(M258-E258)/M258)</f>
        <v/>
      </c>
      <c r="W258" s="6">
        <f>IF(OR(O258="",E258=""),"",(O258-E258)/O258)</f>
        <v/>
      </c>
      <c r="X258" s="6">
        <f>IF(OR(Q258="",E258=""),"",(Q258-E258)/Q258)</f>
        <v/>
      </c>
      <c r="Y258" s="6">
        <f>IF(OR(S258="",E258=""),"",((S258*3500)-E258)/(S258*3500))</f>
        <v/>
      </c>
      <c r="Z258" s="7" t="n"/>
    </row>
    <row r="259">
      <c r="A259" s="2" t="inlineStr">
        <is>
          <t>LA EMPERATRIZ</t>
        </is>
      </c>
      <c r="B259" s="2" t="inlineStr">
        <is>
          <t>EMPERATRIZ MESH LONG DRESS</t>
        </is>
      </c>
      <c r="C259" s="2" t="inlineStr">
        <is>
          <t>27VE36/EMPZ</t>
        </is>
      </c>
      <c r="D259" s="2" t="n">
        <v>8000</v>
      </c>
      <c r="E259" s="3" t="n">
        <v>49635.625</v>
      </c>
      <c r="F259" s="4" t="n">
        <v>10185.03125</v>
      </c>
      <c r="G259" s="3">
        <f>IF(OR(E259="",F259=""),"",E259+F259)</f>
        <v/>
      </c>
      <c r="H259" s="3" t="n">
        <v>71186.5809375</v>
      </c>
      <c r="I259" s="3" t="n">
        <v>177966.45234375</v>
      </c>
      <c r="J259" s="3" t="n">
        <v>169900</v>
      </c>
      <c r="K259" s="3" t="n">
        <v>78525.21008403362</v>
      </c>
      <c r="L259" s="5" t="n">
        <v>0.2381980744020548</v>
      </c>
      <c r="M259" s="3" t="n">
        <v>99941.17647058824</v>
      </c>
      <c r="N259" s="5" t="n">
        <v>0.401441344173043</v>
      </c>
      <c r="O259" s="3" t="n">
        <v>182454.72</v>
      </c>
      <c r="P259" s="5" t="n">
        <v>0.6721342355517028</v>
      </c>
      <c r="Q259" s="3" t="n">
        <v>127680</v>
      </c>
      <c r="R259" s="5" t="n">
        <v>0.5314798226033834</v>
      </c>
      <c r="S259" s="3" t="n">
        <v>124.8</v>
      </c>
      <c r="T259" s="5" t="n">
        <v>0.8738599522393725</v>
      </c>
      <c r="U259" s="6">
        <f>IF(OR(K259="",E259=""),"",(K259-E259)/K259)</f>
        <v/>
      </c>
      <c r="V259" s="6">
        <f>IF(OR(M259="",E259=""),"",(M259-E259)/M259)</f>
        <v/>
      </c>
      <c r="W259" s="6">
        <f>IF(OR(O259="",E259=""),"",(O259-E259)/O259)</f>
        <v/>
      </c>
      <c r="X259" s="6">
        <f>IF(OR(Q259="",E259=""),"",(Q259-E259)/Q259)</f>
        <v/>
      </c>
      <c r="Y259" s="6">
        <f>IF(OR(S259="",E259=""),"",((S259*3500)-E259)/(S259*3500))</f>
        <v/>
      </c>
      <c r="Z259" s="7" t="n"/>
    </row>
    <row r="260">
      <c r="A260" s="2" t="inlineStr">
        <is>
          <t>LA EMPERATRIZ</t>
        </is>
      </c>
      <c r="B260" s="2" t="inlineStr">
        <is>
          <t>EMPERATRIZ MESH DRESS</t>
        </is>
      </c>
      <c r="C260" s="2" t="inlineStr">
        <is>
          <t>27VE32/EMPZ</t>
        </is>
      </c>
      <c r="D260" s="2" t="n">
        <v>8000</v>
      </c>
      <c r="E260" s="3" t="n">
        <v>51220.07</v>
      </c>
      <c r="F260" s="4" t="n">
        <v>10185.03125</v>
      </c>
      <c r="G260" s="3">
        <f>IF(OR(E260="",F260=""),"",E260+F260)</f>
        <v/>
      </c>
      <c r="H260" s="3" t="n">
        <v>73072.07048749999</v>
      </c>
      <c r="I260" s="3" t="n">
        <v>182680.17621875</v>
      </c>
      <c r="J260" s="3" t="n">
        <v>169900</v>
      </c>
      <c r="K260" s="3" t="n">
        <v>78525.21008403362</v>
      </c>
      <c r="L260" s="5" t="n">
        <v>0.2180205416287657</v>
      </c>
      <c r="M260" s="3" t="n">
        <v>99941.17647058824</v>
      </c>
      <c r="N260" s="5" t="n">
        <v>0.3855875684226016</v>
      </c>
      <c r="O260" s="3" t="n">
        <v>182454.72</v>
      </c>
      <c r="P260" s="5" t="n">
        <v>0.6634501905459063</v>
      </c>
      <c r="Q260" s="3" t="n">
        <v>127680</v>
      </c>
      <c r="R260" s="5" t="n">
        <v>0.5190703222901003</v>
      </c>
      <c r="S260" s="3" t="n">
        <v>124.8</v>
      </c>
      <c r="T260" s="5" t="n">
        <v>0.8705189329242577</v>
      </c>
      <c r="U260" s="6">
        <f>IF(OR(K260="",E260=""),"",(K260-E260)/K260)</f>
        <v/>
      </c>
      <c r="V260" s="6">
        <f>IF(OR(M260="",E260=""),"",(M260-E260)/M260)</f>
        <v/>
      </c>
      <c r="W260" s="6">
        <f>IF(OR(O260="",E260=""),"",(O260-E260)/O260)</f>
        <v/>
      </c>
      <c r="X260" s="6">
        <f>IF(OR(Q260="",E260=""),"",(Q260-E260)/Q260)</f>
        <v/>
      </c>
      <c r="Y260" s="6">
        <f>IF(OR(S260="",E260=""),"",((S260*3500)-E260)/(S260*3500))</f>
        <v/>
      </c>
      <c r="Z260" s="7" t="n"/>
    </row>
    <row r="261">
      <c r="A261" s="2" t="inlineStr">
        <is>
          <t>LA EMPERATRIZ</t>
        </is>
      </c>
      <c r="B261" s="2" t="inlineStr">
        <is>
          <t>EMPERATRIZ MESH SHIRT</t>
        </is>
      </c>
      <c r="C261" s="2" t="inlineStr">
        <is>
          <t>27CA36/EMPZ</t>
        </is>
      </c>
      <c r="D261" s="2" t="n">
        <v>8000</v>
      </c>
      <c r="E261" s="3" t="n">
        <v>30229.34408602151</v>
      </c>
      <c r="F261" s="4" t="n">
        <v>10185.03125</v>
      </c>
      <c r="G261" s="3">
        <f>IF(OR(E261="",F261=""),"",E261+F261)</f>
        <v/>
      </c>
      <c r="H261" s="3" t="n">
        <v>48093.10664986559</v>
      </c>
      <c r="I261" s="3" t="n">
        <v>120232.766624664</v>
      </c>
      <c r="J261" s="3" t="n">
        <v>129900</v>
      </c>
      <c r="K261" s="3" t="n">
        <v>60037.81512605043</v>
      </c>
      <c r="L261" s="5" t="n">
        <v>0.3268513310957298</v>
      </c>
      <c r="M261" s="3" t="n">
        <v>76411.76470588235</v>
      </c>
      <c r="N261" s="5" t="n">
        <v>0.4710974744323591</v>
      </c>
      <c r="O261" s="3" t="n">
        <v>144443.32</v>
      </c>
      <c r="P261" s="5" t="n">
        <v>0.7202059926618862</v>
      </c>
      <c r="Q261" s="3" t="n">
        <v>101080</v>
      </c>
      <c r="R261" s="5" t="n">
        <v>0.6001743635138355</v>
      </c>
      <c r="S261" s="3" t="n">
        <v>98.8</v>
      </c>
      <c r="T261" s="5" t="n">
        <v>0.8923546363306479</v>
      </c>
      <c r="U261" s="6">
        <f>IF(OR(K261="",E261=""),"",(K261-E261)/K261)</f>
        <v/>
      </c>
      <c r="V261" s="6">
        <f>IF(OR(M261="",E261=""),"",(M261-E261)/M261)</f>
        <v/>
      </c>
      <c r="W261" s="6">
        <f>IF(OR(O261="",E261=""),"",(O261-E261)/O261)</f>
        <v/>
      </c>
      <c r="X261" s="6">
        <f>IF(OR(Q261="",E261=""),"",(Q261-E261)/Q261)</f>
        <v/>
      </c>
      <c r="Y261" s="6">
        <f>IF(OR(S261="",E261=""),"",((S261*3500)-E261)/(S261*3500))</f>
        <v/>
      </c>
      <c r="Z261" s="7" t="n"/>
    </row>
    <row r="262">
      <c r="A262" s="2" t="inlineStr">
        <is>
          <t>LA EMPERATRIZ</t>
        </is>
      </c>
      <c r="B262" s="2" t="inlineStr">
        <is>
          <t>ORÁCULO MESH SHIRT</t>
        </is>
      </c>
      <c r="C262" s="2" t="inlineStr">
        <is>
          <t>27CA36/ORCL</t>
        </is>
      </c>
      <c r="D262" s="2" t="n">
        <v>8000</v>
      </c>
      <c r="E262" s="3" t="n">
        <v>30229.34408602151</v>
      </c>
      <c r="F262" s="4" t="n">
        <v>10185.03125</v>
      </c>
      <c r="G262" s="3">
        <f>IF(OR(E262="",F262=""),"",E262+F262)</f>
        <v/>
      </c>
      <c r="H262" s="3" t="n">
        <v>48093.10664986559</v>
      </c>
      <c r="I262" s="3" t="n">
        <v>120232.766624664</v>
      </c>
      <c r="J262" s="3" t="n">
        <v>129900</v>
      </c>
      <c r="K262" s="3" t="n">
        <v>60037.81512605043</v>
      </c>
      <c r="L262" s="5" t="n">
        <v>0.3268513310957298</v>
      </c>
      <c r="M262" s="3" t="n">
        <v>76411.76470588235</v>
      </c>
      <c r="N262" s="5" t="n">
        <v>0.4710974744323591</v>
      </c>
      <c r="O262" s="3" t="e">
        <v>#N/A</v>
      </c>
      <c r="P262" s="5" t="e">
        <v>#N/A</v>
      </c>
      <c r="Q262" s="3" t="e">
        <v>#N/A</v>
      </c>
      <c r="R262" s="5" t="e">
        <v>#N/A</v>
      </c>
      <c r="S262" s="3" t="e">
        <v>#N/A</v>
      </c>
      <c r="T262" s="5" t="e">
        <v>#N/A</v>
      </c>
      <c r="U262" s="6">
        <f>IF(OR(K262="",E262=""),"",(K262-E262)/K262)</f>
        <v/>
      </c>
      <c r="V262" s="6">
        <f>IF(OR(M262="",E262=""),"",(M262-E262)/M262)</f>
        <v/>
      </c>
      <c r="W262" s="6">
        <f>IF(OR(O262="",E262=""),"",(O262-E262)/O262)</f>
        <v/>
      </c>
      <c r="X262" s="6">
        <f>IF(OR(Q262="",E262=""),"",(Q262-E262)/Q262)</f>
        <v/>
      </c>
      <c r="Y262" s="6">
        <f>IF(OR(S262="",E262=""),"",((S262*3500)-E262)/(S262*3500))</f>
        <v/>
      </c>
      <c r="Z262" s="7" t="n"/>
    </row>
    <row r="263">
      <c r="A263" s="2" t="inlineStr">
        <is>
          <t>LA EMPERATRIZ</t>
        </is>
      </c>
      <c r="B263" s="2" t="inlineStr">
        <is>
          <t>EMPERATRIZ MESH LONG SHIRT</t>
        </is>
      </c>
      <c r="C263" s="2" t="inlineStr">
        <is>
          <t>27CA32/EMPZ</t>
        </is>
      </c>
      <c r="D263" s="2" t="n">
        <v>8000</v>
      </c>
      <c r="E263" s="3" t="n">
        <v>26982</v>
      </c>
      <c r="F263" s="4" t="n">
        <v>10185.03125</v>
      </c>
      <c r="G263" s="3">
        <f>IF(OR(E263="",F263=""),"",E263+F263)</f>
        <v/>
      </c>
      <c r="H263" s="3" t="n">
        <v>44228.7671875</v>
      </c>
      <c r="I263" s="3" t="n">
        <v>110571.91796875</v>
      </c>
      <c r="J263" s="3" t="n">
        <v>119900</v>
      </c>
      <c r="K263" s="3" t="n">
        <v>55415.96638655462</v>
      </c>
      <c r="L263" s="5" t="n">
        <v>0.3293082540374555</v>
      </c>
      <c r="M263" s="3" t="n">
        <v>70529.41176470587</v>
      </c>
      <c r="N263" s="5" t="n">
        <v>0.4730279138865721</v>
      </c>
      <c r="O263" s="3" t="n">
        <v>114034.2</v>
      </c>
      <c r="P263" s="5" t="n">
        <v>0.6740711887310999</v>
      </c>
      <c r="Q263" s="3" t="n">
        <v>79800</v>
      </c>
      <c r="R263" s="5" t="n">
        <v>0.5342477286967419</v>
      </c>
      <c r="S263" s="3" t="n">
        <v>78</v>
      </c>
      <c r="T263" s="5" t="n">
        <v>0.8746051577260459</v>
      </c>
      <c r="U263" s="6">
        <f>IF(OR(K263="",E263=""),"",(K263-E263)/K263)</f>
        <v/>
      </c>
      <c r="V263" s="6">
        <f>IF(OR(M263="",E263=""),"",(M263-E263)/M263)</f>
        <v/>
      </c>
      <c r="W263" s="6">
        <f>IF(OR(O263="",E263=""),"",(O263-E263)/O263)</f>
        <v/>
      </c>
      <c r="X263" s="6">
        <f>IF(OR(Q263="",E263=""),"",(Q263-E263)/Q263)</f>
        <v/>
      </c>
      <c r="Y263" s="6">
        <f>IF(OR(S263="",E263=""),"",((S263*3500)-E263)/(S263*3500))</f>
        <v/>
      </c>
      <c r="Z263" s="7" t="n"/>
    </row>
    <row r="264">
      <c r="A264" s="2" t="inlineStr">
        <is>
          <t>LA EMPERATRIZ</t>
        </is>
      </c>
      <c r="B264" s="2" t="inlineStr">
        <is>
          <t>EMPERATRIZ SLEEP SLEEVELESS SHIRT</t>
        </is>
      </c>
      <c r="C264" s="2" t="inlineStr">
        <is>
          <t>274124/EMPZ</t>
        </is>
      </c>
      <c r="D264" s="2" t="n">
        <v>8000</v>
      </c>
      <c r="E264" s="3" t="n">
        <v>18336.66</v>
      </c>
      <c r="F264" s="4" t="n">
        <v>10185.03125</v>
      </c>
      <c r="G264" s="3">
        <f>IF(OR(E264="",F264=""),"",E264+F264)</f>
        <v/>
      </c>
      <c r="H264" s="3" t="n">
        <v>33940.8125875</v>
      </c>
      <c r="I264" s="3" t="n">
        <v>84852.03146874999</v>
      </c>
      <c r="J264" s="3" t="n">
        <v>79950</v>
      </c>
      <c r="K264" s="3" t="n">
        <v>36951.68067226891</v>
      </c>
      <c r="L264" s="5" t="n">
        <v>0.2281354804138952</v>
      </c>
      <c r="M264" s="3" t="n">
        <v>47029.41176470588</v>
      </c>
      <c r="N264" s="5" t="n">
        <v>0.3935350203252032</v>
      </c>
      <c r="O264" s="3" t="n">
        <v>49414.82</v>
      </c>
      <c r="P264" s="5" t="n">
        <v>0.4228109856516729</v>
      </c>
      <c r="Q264" s="3" t="n">
        <v>34580</v>
      </c>
      <c r="R264" s="5" t="n">
        <v>0.1751968984962406</v>
      </c>
      <c r="S264" s="3" t="n">
        <v>33.8</v>
      </c>
      <c r="T264" s="5" t="n">
        <v>0.7779376265182186</v>
      </c>
      <c r="U264" s="6">
        <f>IF(OR(K264="",E264=""),"",(K264-E264)/K264)</f>
        <v/>
      </c>
      <c r="V264" s="6">
        <f>IF(OR(M264="",E264=""),"",(M264-E264)/M264)</f>
        <v/>
      </c>
      <c r="W264" s="6">
        <f>IF(OR(O264="",E264=""),"",(O264-E264)/O264)</f>
        <v/>
      </c>
      <c r="X264" s="6">
        <f>IF(OR(Q264="",E264=""),"",(Q264-E264)/Q264)</f>
        <v/>
      </c>
      <c r="Y264" s="6">
        <f>IF(OR(S264="",E264=""),"",((S264*3500)-E264)/(S264*3500))</f>
        <v/>
      </c>
      <c r="Z264" s="7" t="n"/>
    </row>
    <row r="265">
      <c r="A265" s="2" t="inlineStr">
        <is>
          <t>LA EMPERATRIZ</t>
        </is>
      </c>
      <c r="B265" s="2" t="inlineStr">
        <is>
          <t>EMPERATRIZ SLEEP SHORT</t>
        </is>
      </c>
      <c r="C265" s="2" t="inlineStr">
        <is>
          <t>274222/EMPZ</t>
        </is>
      </c>
      <c r="D265" s="2" t="n">
        <v>8000</v>
      </c>
      <c r="E265" s="3" t="n">
        <v>18737.81</v>
      </c>
      <c r="F265" s="4" t="n">
        <v>10185.03125</v>
      </c>
      <c r="G265" s="3">
        <f>IF(OR(E265="",F265=""),"",E265+F265)</f>
        <v/>
      </c>
      <c r="H265" s="3" t="n">
        <v>34418.1810875</v>
      </c>
      <c r="I265" s="3" t="n">
        <v>86045.45271874999</v>
      </c>
      <c r="J265" s="3" t="n">
        <v>99950</v>
      </c>
      <c r="K265" s="3" t="n">
        <v>46195.37815126051</v>
      </c>
      <c r="L265" s="5" t="n">
        <v>0.373901840238301</v>
      </c>
      <c r="M265" s="3" t="n">
        <v>58794.11764705882</v>
      </c>
      <c r="N265" s="5" t="n">
        <v>0.5080657316158078</v>
      </c>
      <c r="O265" s="3" t="n">
        <v>49414.82</v>
      </c>
      <c r="P265" s="5" t="n">
        <v>0.4146929757105257</v>
      </c>
      <c r="Q265" s="3" t="n">
        <v>34580</v>
      </c>
      <c r="R265" s="5" t="n">
        <v>0.1635962622903412</v>
      </c>
      <c r="S265" s="3" t="n">
        <v>33.8</v>
      </c>
      <c r="T265" s="5" t="n">
        <v>0.7748143783089381</v>
      </c>
      <c r="U265" s="6">
        <f>IF(OR(K265="",E265=""),"",(K265-E265)/K265)</f>
        <v/>
      </c>
      <c r="V265" s="6">
        <f>IF(OR(M265="",E265=""),"",(M265-E265)/M265)</f>
        <v/>
      </c>
      <c r="W265" s="6">
        <f>IF(OR(O265="",E265=""),"",(O265-E265)/O265)</f>
        <v/>
      </c>
      <c r="X265" s="6">
        <f>IF(OR(Q265="",E265=""),"",(Q265-E265)/Q265)</f>
        <v/>
      </c>
      <c r="Y265" s="6">
        <f>IF(OR(S265="",E265=""),"",((S265*3500)-E265)/(S265*3500))</f>
        <v/>
      </c>
      <c r="Z265" s="7" t="n"/>
    </row>
    <row r="266">
      <c r="A266" s="2" t="inlineStr">
        <is>
          <t>LA EMPERATRIZ</t>
        </is>
      </c>
      <c r="B266" s="2" t="inlineStr">
        <is>
          <t>EMPERATRIZ SLEEP LONG SHIRT</t>
        </is>
      </c>
      <c r="C266" s="2" t="inlineStr">
        <is>
          <t>274121/EMPZ</t>
        </is>
      </c>
      <c r="D266" s="2" t="n">
        <v>8000</v>
      </c>
      <c r="E266" s="3" t="n">
        <v>32611.31</v>
      </c>
      <c r="F266" s="4" t="n">
        <v>10185.03125</v>
      </c>
      <c r="G266" s="3">
        <f>IF(OR(E266="",F266=""),"",E266+F266)</f>
        <v/>
      </c>
      <c r="H266" s="3" t="n">
        <v>50927.6460875</v>
      </c>
      <c r="I266" s="3" t="n">
        <v>127319.11521875</v>
      </c>
      <c r="J266" s="3" t="n">
        <v>99950</v>
      </c>
      <c r="K266" s="3" t="n">
        <v>46195.37815126051</v>
      </c>
      <c r="L266" s="5" t="n">
        <v>0.07357958820319273</v>
      </c>
      <c r="M266" s="3" t="n">
        <v>58794.11764705882</v>
      </c>
      <c r="N266" s="5" t="n">
        <v>0.2720982478739369</v>
      </c>
      <c r="O266" s="3" t="n">
        <v>64619.37999999999</v>
      </c>
      <c r="P266" s="5" t="n">
        <v>0.3377166223198055</v>
      </c>
      <c r="Q266" s="3" t="n">
        <v>45219.99999999999</v>
      </c>
      <c r="R266" s="5" t="n">
        <v>0.05359705329500211</v>
      </c>
      <c r="S266" s="3" t="n">
        <v>44.2</v>
      </c>
      <c r="T266" s="5" t="n">
        <v>0.7451992066563468</v>
      </c>
      <c r="U266" s="6">
        <f>IF(OR(K266="",E266=""),"",(K266-E266)/K266)</f>
        <v/>
      </c>
      <c r="V266" s="6">
        <f>IF(OR(M266="",E266=""),"",(M266-E266)/M266)</f>
        <v/>
      </c>
      <c r="W266" s="6">
        <f>IF(OR(O266="",E266=""),"",(O266-E266)/O266)</f>
        <v/>
      </c>
      <c r="X266" s="6">
        <f>IF(OR(Q266="",E266=""),"",(Q266-E266)/Q266)</f>
        <v/>
      </c>
      <c r="Y266" s="6">
        <f>IF(OR(S266="",E266=""),"",((S266*3500)-E266)/(S266*3500))</f>
        <v/>
      </c>
      <c r="Z266" s="7" t="n"/>
    </row>
    <row r="267">
      <c r="A267" s="2" t="inlineStr">
        <is>
          <t>LA EMPERATRIZ</t>
        </is>
      </c>
      <c r="B267" s="2" t="inlineStr">
        <is>
          <t>EMPERATRIZ SLEEP PANTS</t>
        </is>
      </c>
      <c r="C267" s="2" t="inlineStr">
        <is>
          <t>274323/EMPZ</t>
        </is>
      </c>
      <c r="D267" s="2" t="n">
        <v>8000</v>
      </c>
      <c r="E267" s="3" t="n">
        <v>28786.53</v>
      </c>
      <c r="F267" s="4" t="n">
        <v>10185.03125</v>
      </c>
      <c r="G267" s="3">
        <f>IF(OR(E267="",F267=""),"",E267+F267)</f>
        <v/>
      </c>
      <c r="H267" s="3" t="n">
        <v>46376.1578875</v>
      </c>
      <c r="I267" s="3" t="n">
        <v>115940.39471875</v>
      </c>
      <c r="J267" s="3" t="n">
        <v>99950</v>
      </c>
      <c r="K267" s="3" t="n">
        <v>46195.37815126051</v>
      </c>
      <c r="L267" s="5" t="n">
        <v>0.1563753169766703</v>
      </c>
      <c r="M267" s="3" t="n">
        <v>58794.11764705882</v>
      </c>
      <c r="N267" s="5" t="n">
        <v>0.3371520347673836</v>
      </c>
      <c r="O267" s="3" t="n">
        <v>57017.1</v>
      </c>
      <c r="P267" s="5" t="n">
        <v>0.3164934510874808</v>
      </c>
      <c r="Q267" s="3" t="n">
        <v>39900</v>
      </c>
      <c r="R267" s="5" t="n">
        <v>0.02326914160401005</v>
      </c>
      <c r="S267" s="3" t="n">
        <v>39</v>
      </c>
      <c r="T267" s="5" t="n">
        <v>0.7370339996626181</v>
      </c>
      <c r="U267" s="6">
        <f>IF(OR(K267="",E267=""),"",(K267-E267)/K267)</f>
        <v/>
      </c>
      <c r="V267" s="6">
        <f>IF(OR(M267="",E267=""),"",(M267-E267)/M267)</f>
        <v/>
      </c>
      <c r="W267" s="6">
        <f>IF(OR(O267="",E267=""),"",(O267-E267)/O267)</f>
        <v/>
      </c>
      <c r="X267" s="6">
        <f>IF(OR(Q267="",E267=""),"",(Q267-E267)/Q267)</f>
        <v/>
      </c>
      <c r="Y267" s="6">
        <f>IF(OR(S267="",E267=""),"",((S267*3500)-E267)/(S267*3500))</f>
        <v/>
      </c>
      <c r="Z267" s="7" t="n"/>
    </row>
    <row r="268">
      <c r="A268" s="2" t="inlineStr">
        <is>
          <t>LA EMPERATRIZ</t>
        </is>
      </c>
      <c r="B268" s="2" t="inlineStr">
        <is>
          <t>EMPERATRIZ SLEEP SHORT SLEEVELESS SHIRT</t>
        </is>
      </c>
      <c r="C268" s="2" t="inlineStr">
        <is>
          <t>274125/EMPZ</t>
        </is>
      </c>
      <c r="D268" s="2" t="n">
        <v>8000</v>
      </c>
      <c r="E268" s="3" t="n">
        <v>21807.84375</v>
      </c>
      <c r="F268" s="4" t="n">
        <v>10185.03125</v>
      </c>
      <c r="G268" s="3">
        <f>IF(OR(E268="",F268=""),"",E268+F268)</f>
        <v/>
      </c>
      <c r="H268" s="3" t="n">
        <v>38071.52125</v>
      </c>
      <c r="I268" s="3" t="n">
        <v>95178.80312499999</v>
      </c>
      <c r="J268" s="3" t="n">
        <v>89950</v>
      </c>
      <c r="K268" s="3" t="n">
        <v>41573.52941176471</v>
      </c>
      <c r="L268" s="5" t="n">
        <v>0.2304508312698976</v>
      </c>
      <c r="M268" s="3" t="n">
        <v>52911.76470588235</v>
      </c>
      <c r="N268" s="5" t="n">
        <v>0.395354224569205</v>
      </c>
      <c r="O268" s="3" t="n">
        <v>53215.95999999999</v>
      </c>
      <c r="P268" s="5" t="n">
        <v>0.3988105260151277</v>
      </c>
      <c r="Q268" s="3" t="n">
        <v>37239.99999999999</v>
      </c>
      <c r="R268" s="5" t="n">
        <v>0.1409002416756175</v>
      </c>
      <c r="S268" s="3" t="n">
        <v>36.4</v>
      </c>
      <c r="T268" s="5" t="n">
        <v>0.7687039112203586</v>
      </c>
      <c r="U268" s="6">
        <f>IF(OR(K268="",E268=""),"",(K268-E268)/K268)</f>
        <v/>
      </c>
      <c r="V268" s="6">
        <f>IF(OR(M268="",E268=""),"",(M268-E268)/M268)</f>
        <v/>
      </c>
      <c r="W268" s="6">
        <f>IF(OR(O268="",E268=""),"",(O268-E268)/O268)</f>
        <v/>
      </c>
      <c r="X268" s="6">
        <f>IF(OR(Q268="",E268=""),"",(Q268-E268)/Q268)</f>
        <v/>
      </c>
      <c r="Y268" s="6">
        <f>IF(OR(S268="",E268=""),"",((S268*3500)-E268)/(S268*3500))</f>
        <v/>
      </c>
      <c r="Z268" s="7" t="n"/>
    </row>
    <row r="269">
      <c r="A269" s="2" t="inlineStr">
        <is>
          <t>LA EMPERATRIZ</t>
        </is>
      </c>
      <c r="B269" s="2" t="inlineStr">
        <is>
          <t>I'M BLACK MESH DOUBLE STRAP TRIANGLE TOP</t>
        </is>
      </c>
      <c r="C269" s="2" t="inlineStr">
        <is>
          <t>273178/BLA</t>
        </is>
      </c>
      <c r="D269" s="2" t="n">
        <v>8000</v>
      </c>
      <c r="E269" s="3" t="n">
        <v>31318.24892307692</v>
      </c>
      <c r="F269" s="4" t="n">
        <v>10185.03125</v>
      </c>
      <c r="G269" s="3">
        <f>IF(OR(E269="",F269=""),"",E269+F269)</f>
        <v/>
      </c>
      <c r="H269" s="3" t="n">
        <v>49388.90340596154</v>
      </c>
      <c r="I269" s="3" t="n">
        <v>123472.2585149038</v>
      </c>
      <c r="J269" s="3" t="n">
        <v>129900</v>
      </c>
      <c r="K269" s="3" t="n">
        <v>60037.81512605043</v>
      </c>
      <c r="L269" s="5" t="n">
        <v>0.3087143480164947</v>
      </c>
      <c r="M269" s="3" t="n">
        <v>76411.76470588235</v>
      </c>
      <c r="N269" s="5" t="n">
        <v>0.4568469877272457</v>
      </c>
      <c r="O269" s="3" t="n">
        <v>121636.48</v>
      </c>
      <c r="P269" s="5" t="n">
        <v>0.6587924924078951</v>
      </c>
      <c r="Q269" s="3" t="n">
        <v>85120</v>
      </c>
      <c r="R269" s="5" t="n">
        <v>0.5124144716508819</v>
      </c>
      <c r="S269" s="3" t="n">
        <v>83.2</v>
      </c>
      <c r="T269" s="5" t="n">
        <v>0.868726973136776</v>
      </c>
      <c r="U269" s="6">
        <f>IF(OR(K269="",E269=""),"",(K269-E269)/K269)</f>
        <v/>
      </c>
      <c r="V269" s="6">
        <f>IF(OR(M269="",E269=""),"",(M269-E269)/M269)</f>
        <v/>
      </c>
      <c r="W269" s="6">
        <f>IF(OR(O269="",E269=""),"",(O269-E269)/O269)</f>
        <v/>
      </c>
      <c r="X269" s="6">
        <f>IF(OR(Q269="",E269=""),"",(Q269-E269)/Q269)</f>
        <v/>
      </c>
      <c r="Y269" s="6">
        <f>IF(OR(S269="",E269=""),"",((S269*3500)-E269)/(S269*3500))</f>
        <v/>
      </c>
      <c r="Z269" s="7" t="n"/>
    </row>
    <row r="270">
      <c r="A270" s="2" t="inlineStr">
        <is>
          <t>LA EMPERATRIZ</t>
        </is>
      </c>
      <c r="B270" s="2" t="inlineStr">
        <is>
          <t>I'M BLACK MESH STRAP TIE SIDE BOTTOM</t>
        </is>
      </c>
      <c r="C270" s="2" t="inlineStr">
        <is>
          <t>273243/BLA</t>
        </is>
      </c>
      <c r="D270" s="2" t="n">
        <v>8000</v>
      </c>
      <c r="E270" s="3" t="n">
        <v>28402.929105</v>
      </c>
      <c r="F270" s="4" t="n">
        <v>10185.03125</v>
      </c>
      <c r="G270" s="3">
        <f>IF(OR(E270="",F270=""),"",E270+F270)</f>
        <v/>
      </c>
      <c r="H270" s="3" t="n">
        <v>45919.67282245</v>
      </c>
      <c r="I270" s="3" t="n">
        <v>114799.182056125</v>
      </c>
      <c r="J270" s="3" t="n">
        <v>119900</v>
      </c>
      <c r="K270" s="3" t="n">
        <v>55415.96638655462</v>
      </c>
      <c r="L270" s="5" t="n">
        <v>0.3036671040647509</v>
      </c>
      <c r="M270" s="3" t="n">
        <v>70529.41176470587</v>
      </c>
      <c r="N270" s="5" t="n">
        <v>0.4528812960508756</v>
      </c>
      <c r="O270" s="3" t="n">
        <v>106431.92</v>
      </c>
      <c r="P270" s="5" t="n">
        <v>0.6374399676807483</v>
      </c>
      <c r="Q270" s="3" t="n">
        <v>74479.99999999999</v>
      </c>
      <c r="R270" s="5" t="n">
        <v>0.4819017138157893</v>
      </c>
      <c r="S270" s="3" t="n">
        <v>72.8</v>
      </c>
      <c r="T270" s="5" t="n">
        <v>0.8605119998734818</v>
      </c>
      <c r="U270" s="6">
        <f>IF(OR(K270="",E270=""),"",(K270-E270)/K270)</f>
        <v/>
      </c>
      <c r="V270" s="6">
        <f>IF(OR(M270="",E270=""),"",(M270-E270)/M270)</f>
        <v/>
      </c>
      <c r="W270" s="6">
        <f>IF(OR(O270="",E270=""),"",(O270-E270)/O270)</f>
        <v/>
      </c>
      <c r="X270" s="6">
        <f>IF(OR(Q270="",E270=""),"",(Q270-E270)/Q270)</f>
        <v/>
      </c>
      <c r="Y270" s="6">
        <f>IF(OR(S270="",E270=""),"",((S270*3500)-E270)/(S270*3500))</f>
        <v/>
      </c>
      <c r="Z270" s="7" t="n"/>
    </row>
    <row r="271">
      <c r="A271" s="2" t="inlineStr">
        <is>
          <t>LA EMPERATRIZ</t>
        </is>
      </c>
      <c r="B271" s="2" t="inlineStr">
        <is>
          <t>I'M BLACK MESH SPORTY TOP</t>
        </is>
      </c>
      <c r="C271" s="2" t="inlineStr">
        <is>
          <t>273176/BLA</t>
        </is>
      </c>
      <c r="D271" s="2" t="n">
        <v>8000</v>
      </c>
      <c r="E271" s="3" t="n">
        <v>29721</v>
      </c>
      <c r="F271" s="4" t="n">
        <v>10185.03125</v>
      </c>
      <c r="G271" s="3">
        <f>IF(OR(E271="",F271=""),"",E271+F271)</f>
        <v/>
      </c>
      <c r="H271" s="3" t="n">
        <v>47488.1771875</v>
      </c>
      <c r="I271" s="3" t="n">
        <v>118720.44296875</v>
      </c>
      <c r="J271" s="3" t="n">
        <v>129900</v>
      </c>
      <c r="K271" s="3" t="n">
        <v>60037.81512605043</v>
      </c>
      <c r="L271" s="5" t="n">
        <v>0.335318396143887</v>
      </c>
      <c r="M271" s="3" t="n">
        <v>76411.76470588235</v>
      </c>
      <c r="N271" s="5" t="n">
        <v>0.4777501683987683</v>
      </c>
      <c r="O271" s="3" t="n">
        <v>114034.2</v>
      </c>
      <c r="P271" s="5" t="n">
        <v>0.6500520786746432</v>
      </c>
      <c r="Q271" s="3" t="n">
        <v>79800</v>
      </c>
      <c r="R271" s="5" t="n">
        <v>0.4999244204260652</v>
      </c>
      <c r="S271" s="3" t="n">
        <v>78</v>
      </c>
      <c r="T271" s="5" t="n">
        <v>0.8653642670377868</v>
      </c>
      <c r="U271" s="6">
        <f>IF(OR(K271="",E271=""),"",(K271-E271)/K271)</f>
        <v/>
      </c>
      <c r="V271" s="6">
        <f>IF(OR(M271="",E271=""),"",(M271-E271)/M271)</f>
        <v/>
      </c>
      <c r="W271" s="6">
        <f>IF(OR(O271="",E271=""),"",(O271-E271)/O271)</f>
        <v/>
      </c>
      <c r="X271" s="6">
        <f>IF(OR(Q271="",E271=""),"",(Q271-E271)/Q271)</f>
        <v/>
      </c>
      <c r="Y271" s="6">
        <f>IF(OR(S271="",E271=""),"",((S271*3500)-E271)/(S271*3500))</f>
        <v/>
      </c>
      <c r="Z271" s="7" t="n"/>
    </row>
    <row r="272">
      <c r="A272" s="2" t="inlineStr">
        <is>
          <t>LA EMPERATRIZ</t>
        </is>
      </c>
      <c r="B272" s="2" t="inlineStr">
        <is>
          <t>I'M BLACK MESH HIGH WAIST BOTTOM</t>
        </is>
      </c>
      <c r="C272" s="2" t="inlineStr">
        <is>
          <t>273244/BLA</t>
        </is>
      </c>
      <c r="D272" s="2" t="n">
        <v>8000</v>
      </c>
      <c r="E272" s="3" t="n">
        <v>24454.81</v>
      </c>
      <c r="F272" s="4" t="n">
        <v>10185.03125</v>
      </c>
      <c r="G272" s="3">
        <f>IF(OR(E272="",F272=""),"",E272+F272)</f>
        <v/>
      </c>
      <c r="H272" s="3" t="n">
        <v>41221.4110875</v>
      </c>
      <c r="I272" s="3" t="n">
        <v>103053.52771875</v>
      </c>
      <c r="J272" s="3" t="n">
        <v>109900</v>
      </c>
      <c r="K272" s="3" t="n">
        <v>50794.11764705883</v>
      </c>
      <c r="L272" s="5" t="n">
        <v>0.3180343934568617</v>
      </c>
      <c r="M272" s="3" t="n">
        <v>64647.05882352941</v>
      </c>
      <c r="N272" s="5" t="n">
        <v>0.4641698805732484</v>
      </c>
      <c r="O272" s="3" t="n">
        <v>98829.64</v>
      </c>
      <c r="P272" s="5" t="n">
        <v>0.6494994694911365</v>
      </c>
      <c r="Q272" s="3" t="n">
        <v>69160</v>
      </c>
      <c r="R272" s="5" t="n">
        <v>0.499134741902834</v>
      </c>
      <c r="S272" s="3" t="n">
        <v>67.60000000000001</v>
      </c>
      <c r="T272" s="5" t="n">
        <v>0.8651516612815322</v>
      </c>
      <c r="U272" s="6">
        <f>IF(OR(K272="",E272=""),"",(K272-E272)/K272)</f>
        <v/>
      </c>
      <c r="V272" s="6">
        <f>IF(OR(M272="",E272=""),"",(M272-E272)/M272)</f>
        <v/>
      </c>
      <c r="W272" s="6">
        <f>IF(OR(O272="",E272=""),"",(O272-E272)/O272)</f>
        <v/>
      </c>
      <c r="X272" s="6">
        <f>IF(OR(Q272="",E272=""),"",(Q272-E272)/Q272)</f>
        <v/>
      </c>
      <c r="Y272" s="6">
        <f>IF(OR(S272="",E272=""),"",((S272*3500)-E272)/(S272*3500))</f>
        <v/>
      </c>
      <c r="Z272" s="7" t="n"/>
    </row>
    <row r="273">
      <c r="A273" s="2" t="inlineStr">
        <is>
          <t>LA EMPERATRIZ</t>
        </is>
      </c>
      <c r="B273" s="2" t="inlineStr">
        <is>
          <t>I'M BLACK MESH HALTER STRAP ONE PIECE</t>
        </is>
      </c>
      <c r="C273" s="2" t="inlineStr">
        <is>
          <t>273375/BLA</t>
        </is>
      </c>
      <c r="D273" s="2" t="n">
        <v>8000</v>
      </c>
      <c r="E273" s="3" t="n">
        <v>52580.91</v>
      </c>
      <c r="F273" s="4" t="n">
        <v>10185.03125</v>
      </c>
      <c r="G273" s="3">
        <f>IF(OR(E273="",F273=""),"",E273+F273)</f>
        <v/>
      </c>
      <c r="H273" s="3" t="n">
        <v>74691.4700875</v>
      </c>
      <c r="I273" s="3" t="n">
        <v>186728.67521875</v>
      </c>
      <c r="J273" s="3" t="n">
        <v>199900</v>
      </c>
      <c r="K273" s="3" t="n">
        <v>92390.75630252103</v>
      </c>
      <c r="L273" s="5" t="n">
        <v>0.3206469590477057</v>
      </c>
      <c r="M273" s="3" t="n">
        <v>117588.2352941176</v>
      </c>
      <c r="N273" s="5" t="n">
        <v>0.4662226106803401</v>
      </c>
      <c r="O273" s="3" t="n">
        <v>209062.7</v>
      </c>
      <c r="P273" s="5" t="n">
        <v>0.6997745592590165</v>
      </c>
      <c r="Q273" s="3" t="n">
        <v>146300</v>
      </c>
      <c r="R273" s="5" t="n">
        <v>0.5709778451811346</v>
      </c>
      <c r="S273" s="3" t="n">
        <v>143</v>
      </c>
      <c r="T273" s="5" t="n">
        <v>0.8844940352410746</v>
      </c>
      <c r="U273" s="6">
        <f>IF(OR(K273="",E273=""),"",(K273-E273)/K273)</f>
        <v/>
      </c>
      <c r="V273" s="6">
        <f>IF(OR(M273="",E273=""),"",(M273-E273)/M273)</f>
        <v/>
      </c>
      <c r="W273" s="6">
        <f>IF(OR(O273="",E273=""),"",(O273-E273)/O273)</f>
        <v/>
      </c>
      <c r="X273" s="6">
        <f>IF(OR(Q273="",E273=""),"",(Q273-E273)/Q273)</f>
        <v/>
      </c>
      <c r="Y273" s="6">
        <f>IF(OR(S273="",E273=""),"",((S273*3500)-E273)/(S273*3500))</f>
        <v/>
      </c>
      <c r="Z273" s="7" t="n"/>
    </row>
    <row r="274">
      <c r="A274" s="2" t="inlineStr">
        <is>
          <t>LA EMPERATRIZ</t>
        </is>
      </c>
      <c r="B274" s="2" t="inlineStr">
        <is>
          <t>I'M BLACK MESH KNIT SHIRT</t>
        </is>
      </c>
      <c r="C274" s="2" t="inlineStr">
        <is>
          <t>27CA37/BLA</t>
        </is>
      </c>
      <c r="D274" s="2" t="n">
        <v>8000</v>
      </c>
      <c r="E274" s="3" t="n">
        <v>39513.2555555556</v>
      </c>
      <c r="F274" s="4" t="n">
        <v>10185.03125</v>
      </c>
      <c r="G274" s="3">
        <f>IF(OR(E274="",F274=""),"",E274+F274)</f>
        <v/>
      </c>
      <c r="H274" s="3" t="n">
        <v>59140.96129861117</v>
      </c>
      <c r="I274" s="3" t="n">
        <v>147852.4032465279</v>
      </c>
      <c r="J274" s="3" t="n">
        <v>149900</v>
      </c>
      <c r="K274" s="3" t="n">
        <v>69281.51260504202</v>
      </c>
      <c r="L274" s="5" t="n">
        <v>0.2826616374721188</v>
      </c>
      <c r="M274" s="3" t="n">
        <v>88176.4705882353</v>
      </c>
      <c r="N274" s="5" t="n">
        <v>0.4363770008709505</v>
      </c>
      <c r="O274" s="3" t="n">
        <v>152045.6</v>
      </c>
      <c r="P274" s="5" t="n">
        <v>0.6731356461117217</v>
      </c>
      <c r="Q274" s="3" t="n">
        <v>106400</v>
      </c>
      <c r="R274" s="5" t="n">
        <v>0.5329108382936504</v>
      </c>
      <c r="S274" s="3" t="n">
        <v>104</v>
      </c>
      <c r="T274" s="5" t="n">
        <v>0.8742452256944444</v>
      </c>
      <c r="U274" s="6">
        <f>IF(OR(K274="",E274=""),"",(K274-E274)/K274)</f>
        <v/>
      </c>
      <c r="V274" s="6">
        <f>IF(OR(M274="",E274=""),"",(M274-E274)/M274)</f>
        <v/>
      </c>
      <c r="W274" s="6">
        <f>IF(OR(O274="",E274=""),"",(O274-E274)/O274)</f>
        <v/>
      </c>
      <c r="X274" s="6">
        <f>IF(OR(Q274="",E274=""),"",(Q274-E274)/Q274)</f>
        <v/>
      </c>
      <c r="Y274" s="6">
        <f>IF(OR(S274="",E274=""),"",((S274*3500)-E274)/(S274*3500))</f>
        <v/>
      </c>
      <c r="Z274" s="7" t="n"/>
    </row>
    <row r="275">
      <c r="A275" s="2" t="inlineStr">
        <is>
          <t>LA EMPERATRIZ</t>
        </is>
      </c>
      <c r="B275" s="2" t="inlineStr">
        <is>
          <t>I'M BLACK MESH KNIT PANTS</t>
        </is>
      </c>
      <c r="C275" s="2" t="inlineStr">
        <is>
          <t>27PA26/BLA</t>
        </is>
      </c>
      <c r="D275" s="2" t="n">
        <v>8000</v>
      </c>
      <c r="E275" s="3" t="n">
        <v>47192.70193548387</v>
      </c>
      <c r="F275" s="4" t="n">
        <v>10185.03125</v>
      </c>
      <c r="G275" s="3">
        <f>IF(OR(E275="",F275=""),"",E275+F275)</f>
        <v/>
      </c>
      <c r="H275" s="3" t="n">
        <v>68279.5024907258</v>
      </c>
      <c r="I275" s="3" t="n">
        <v>170698.7562268145</v>
      </c>
      <c r="J275" s="3" t="n">
        <v>159900</v>
      </c>
      <c r="K275" s="3" t="n">
        <v>73903.36134453783</v>
      </c>
      <c r="L275" s="5" t="n">
        <v>0.2236113196801888</v>
      </c>
      <c r="M275" s="3" t="n">
        <v>94058.82352941176</v>
      </c>
      <c r="N275" s="5" t="n">
        <v>0.3899803226058625</v>
      </c>
      <c r="O275" s="3" t="n">
        <v>174852.44</v>
      </c>
      <c r="P275" s="5" t="n">
        <v>0.671850543318218</v>
      </c>
      <c r="Q275" s="3" t="n">
        <v>122360</v>
      </c>
      <c r="R275" s="5" t="n">
        <v>0.5310744264017336</v>
      </c>
      <c r="S275" s="3" t="n">
        <v>119.6</v>
      </c>
      <c r="T275" s="5" t="n">
        <v>0.873750807108159</v>
      </c>
      <c r="U275" s="6">
        <f>IF(OR(K275="",E275=""),"",(K275-E275)/K275)</f>
        <v/>
      </c>
      <c r="V275" s="6">
        <f>IF(OR(M275="",E275=""),"",(M275-E275)/M275)</f>
        <v/>
      </c>
      <c r="W275" s="6">
        <f>IF(OR(O275="",E275=""),"",(O275-E275)/O275)</f>
        <v/>
      </c>
      <c r="X275" s="6">
        <f>IF(OR(Q275="",E275=""),"",(Q275-E275)/Q275)</f>
        <v/>
      </c>
      <c r="Y275" s="6">
        <f>IF(OR(S275="",E275=""),"",((S275*3500)-E275)/(S275*3500))</f>
        <v/>
      </c>
      <c r="Z275" s="7" t="n"/>
    </row>
    <row r="276">
      <c r="A276" s="2" t="inlineStr">
        <is>
          <t>LA EMPERATRIZ</t>
        </is>
      </c>
      <c r="B276" s="2" t="inlineStr">
        <is>
          <t>I'M BLACK EMBROIDERED WRAP SKORT</t>
        </is>
      </c>
      <c r="C276" s="2" t="inlineStr">
        <is>
          <t>27FA29/BLA</t>
        </is>
      </c>
      <c r="D276" s="2" t="n">
        <v>8000</v>
      </c>
      <c r="E276" s="3" t="n">
        <v>36274</v>
      </c>
      <c r="F276" s="4" t="n">
        <v>10185.03125</v>
      </c>
      <c r="G276" s="3">
        <f>IF(OR(E276="",F276=""),"",E276+F276)</f>
        <v/>
      </c>
      <c r="H276" s="3" t="n">
        <v>55286.2471875</v>
      </c>
      <c r="I276" s="3" t="n">
        <v>138215.61796875</v>
      </c>
      <c r="J276" s="3" t="n">
        <v>139900</v>
      </c>
      <c r="K276" s="3" t="n">
        <v>64659.66386554623</v>
      </c>
      <c r="L276" s="5" t="n">
        <v>0.2814835637468323</v>
      </c>
      <c r="M276" s="3" t="n">
        <v>82294.11764705883</v>
      </c>
      <c r="N276" s="5" t="n">
        <v>0.4354513715153681</v>
      </c>
      <c r="O276" s="3" t="n">
        <v>190057</v>
      </c>
      <c r="P276" s="5" t="n">
        <v>0.755552117259559</v>
      </c>
      <c r="Q276" s="3" t="n">
        <v>133000</v>
      </c>
      <c r="R276" s="5" t="n">
        <v>0.6506839755639098</v>
      </c>
      <c r="S276" s="3" t="n">
        <v>130</v>
      </c>
      <c r="T276" s="5" t="n">
        <v>0.9059533780364373</v>
      </c>
      <c r="U276" s="6">
        <f>IF(OR(K276="",E276=""),"",(K276-E276)/K276)</f>
        <v/>
      </c>
      <c r="V276" s="6">
        <f>IF(OR(M276="",E276=""),"",(M276-E276)/M276)</f>
        <v/>
      </c>
      <c r="W276" s="6">
        <f>IF(OR(O276="",E276=""),"",(O276-E276)/O276)</f>
        <v/>
      </c>
      <c r="X276" s="6">
        <f>IF(OR(Q276="",E276=""),"",(Q276-E276)/Q276)</f>
        <v/>
      </c>
      <c r="Y276" s="6">
        <f>IF(OR(S276="",E276=""),"",((S276*3500)-E276)/(S276*3500))</f>
        <v/>
      </c>
      <c r="Z276" s="7" t="n"/>
    </row>
    <row r="277">
      <c r="A277" s="2" t="inlineStr">
        <is>
          <t>LA EMPERATRIZ</t>
        </is>
      </c>
      <c r="B277" s="2" t="inlineStr">
        <is>
          <t>I'M BLACK EMBROIDERED WAISTCOAT</t>
        </is>
      </c>
      <c r="C277" s="2" t="inlineStr">
        <is>
          <t>27WA20/BLA</t>
        </is>
      </c>
      <c r="D277" s="2" t="n">
        <v>8000</v>
      </c>
      <c r="E277" s="3" t="n"/>
      <c r="F277" s="4" t="n">
        <v>10185.03125</v>
      </c>
      <c r="G277" s="3">
        <f>IF(OR(E277="",F277=""),"",E277+F277)</f>
        <v/>
      </c>
      <c r="H277" s="3" t="n">
        <v>12120.1871875</v>
      </c>
      <c r="I277" s="3" t="n">
        <v>30300.46796875</v>
      </c>
      <c r="J277" s="3" t="n"/>
      <c r="K277" s="3" t="n">
        <v>0</v>
      </c>
      <c r="L277" s="5" t="e">
        <v>#DIV/0!</v>
      </c>
      <c r="M277" s="3" t="n">
        <v>0</v>
      </c>
      <c r="N277" s="5" t="e">
        <v>#DIV/0!</v>
      </c>
      <c r="O277" s="3" t="n">
        <v>197659.28</v>
      </c>
      <c r="P277" s="5" t="n">
        <v>0.9484717780516048</v>
      </c>
      <c r="Q277" s="3" t="n">
        <v>138320</v>
      </c>
      <c r="R277" s="5" t="n">
        <v>0.9263661708357432</v>
      </c>
      <c r="S277" s="3" t="n">
        <v>135.2</v>
      </c>
      <c r="T277" s="5" t="n">
        <v>0.9801755075327001</v>
      </c>
      <c r="U277" s="6">
        <f>IF(OR(K277="",E277=""),"",(K277-E277)/K277)</f>
        <v/>
      </c>
      <c r="V277" s="6">
        <f>IF(OR(M277="",E277=""),"",(M277-E277)/M277)</f>
        <v/>
      </c>
      <c r="W277" s="6">
        <f>IF(OR(O277="",E277=""),"",(O277-E277)/O277)</f>
        <v/>
      </c>
      <c r="X277" s="6">
        <f>IF(OR(Q277="",E277=""),"",(Q277-E277)/Q277)</f>
        <v/>
      </c>
      <c r="Y277" s="6">
        <f>IF(OR(S277="",E277=""),"",((S277*3500)-E277)/(S277*3500))</f>
        <v/>
      </c>
      <c r="Z277" s="8" t="inlineStr">
        <is>
          <t>Falta costo directo (COSTO PRODUCTO) en el archivo original — ya venía como #DIV/0! ahí</t>
        </is>
      </c>
    </row>
    <row r="278">
      <c r="A278" s="2" t="inlineStr">
        <is>
          <t>LA EMPERATRIZ</t>
        </is>
      </c>
      <c r="B278" s="2" t="inlineStr">
        <is>
          <t>I'M BLACK LARGE RUFFLE MESH PAREO</t>
        </is>
      </c>
      <c r="C278" s="2" t="inlineStr">
        <is>
          <t>27RE30/BLA</t>
        </is>
      </c>
      <c r="D278" s="2" t="n">
        <v>8000</v>
      </c>
      <c r="E278" s="3" t="n">
        <v>37562.52</v>
      </c>
      <c r="F278" s="4" t="n">
        <v>10185.03125</v>
      </c>
      <c r="G278" s="3">
        <f>IF(OR(E278="",F278=""),"",E278+F278)</f>
        <v/>
      </c>
      <c r="H278" s="3" t="n">
        <v>56819.5859875</v>
      </c>
      <c r="I278" s="3" t="n">
        <v>142048.96496875</v>
      </c>
      <c r="J278" s="3" t="n">
        <v>159900</v>
      </c>
      <c r="K278" s="3" t="n">
        <v>73903.36134453783</v>
      </c>
      <c r="L278" s="5" t="n">
        <v>0.353919085934391</v>
      </c>
      <c r="M278" s="3" t="n">
        <v>94058.82352941176</v>
      </c>
      <c r="N278" s="5" t="n">
        <v>0.4923649960913071</v>
      </c>
      <c r="O278" s="3" t="n">
        <v>136841.04</v>
      </c>
      <c r="P278" s="5" t="n">
        <v>0.6510728707557324</v>
      </c>
      <c r="Q278" s="3" t="n">
        <v>95760</v>
      </c>
      <c r="R278" s="5" t="n">
        <v>0.5013831323099416</v>
      </c>
      <c r="S278" s="3" t="n">
        <v>93.60000000000001</v>
      </c>
      <c r="T278" s="5" t="n">
        <v>0.8657569971603688</v>
      </c>
      <c r="U278" s="6">
        <f>IF(OR(K278="",E278=""),"",(K278-E278)/K278)</f>
        <v/>
      </c>
      <c r="V278" s="6">
        <f>IF(OR(M278="",E278=""),"",(M278-E278)/M278)</f>
        <v/>
      </c>
      <c r="W278" s="6">
        <f>IF(OR(O278="",E278=""),"",(O278-E278)/O278)</f>
        <v/>
      </c>
      <c r="X278" s="6">
        <f>IF(OR(Q278="",E278=""),"",(Q278-E278)/Q278)</f>
        <v/>
      </c>
      <c r="Y278" s="6">
        <f>IF(OR(S278="",E278=""),"",((S278*3500)-E278)/(S278*3500))</f>
        <v/>
      </c>
      <c r="Z278" s="7" t="n"/>
    </row>
    <row r="279">
      <c r="A279" s="2" t="inlineStr">
        <is>
          <t>LA EMPERATRIZ</t>
        </is>
      </c>
      <c r="B279" s="2" t="inlineStr">
        <is>
          <t>I'M BLACK ESSENTIAL TOP</t>
        </is>
      </c>
      <c r="C279" s="2" t="inlineStr">
        <is>
          <t>275120/BLA</t>
        </is>
      </c>
      <c r="D279" s="2" t="n">
        <v>8000</v>
      </c>
      <c r="E279" s="3" t="n">
        <v>16457</v>
      </c>
      <c r="F279" s="4" t="n">
        <v>10185.03125</v>
      </c>
      <c r="G279" s="3">
        <f>IF(OR(E279="",F279=""),"",E279+F279)</f>
        <v/>
      </c>
      <c r="H279" s="3" t="n">
        <v>31704.0171875</v>
      </c>
      <c r="I279" s="3" t="n">
        <v>79260.04296875</v>
      </c>
      <c r="J279" s="3" t="n">
        <v>59900</v>
      </c>
      <c r="K279" s="3" t="n">
        <v>27684.87394957984</v>
      </c>
      <c r="L279" s="5" t="n">
        <v>0.03766832030657171</v>
      </c>
      <c r="M279" s="3" t="n">
        <v>35235.29411764706</v>
      </c>
      <c r="N279" s="5" t="n">
        <v>0.243882251669449</v>
      </c>
      <c r="O279" s="3" t="n">
        <v>57017.1</v>
      </c>
      <c r="P279" s="5" t="n">
        <v>0.5327361221458123</v>
      </c>
      <c r="Q279" s="3" t="n">
        <v>39900</v>
      </c>
      <c r="R279" s="5" t="n">
        <v>0.3322799185463659</v>
      </c>
      <c r="S279" s="3" t="n">
        <v>39</v>
      </c>
      <c r="T279" s="5" t="n">
        <v>0.8202292088394062</v>
      </c>
      <c r="U279" s="6">
        <f>IF(OR(K279="",E279=""),"",(K279-E279)/K279)</f>
        <v/>
      </c>
      <c r="V279" s="6">
        <f>IF(OR(M279="",E279=""),"",(M279-E279)/M279)</f>
        <v/>
      </c>
      <c r="W279" s="6">
        <f>IF(OR(O279="",E279=""),"",(O279-E279)/O279)</f>
        <v/>
      </c>
      <c r="X279" s="6">
        <f>IF(OR(Q279="",E279=""),"",(Q279-E279)/Q279)</f>
        <v/>
      </c>
      <c r="Y279" s="6">
        <f>IF(OR(S279="",E279=""),"",((S279*3500)-E279)/(S279*3500))</f>
        <v/>
      </c>
      <c r="Z279" s="7" t="n"/>
    </row>
    <row r="280">
      <c r="A280" s="2" t="inlineStr">
        <is>
          <t>LA EMPERATRIZ</t>
        </is>
      </c>
      <c r="B280" s="2" t="inlineStr">
        <is>
          <t>CONSTELACIÓN TRIANGLE TOP</t>
        </is>
      </c>
      <c r="C280" s="2" t="inlineStr">
        <is>
          <t>273135/CONST</t>
        </is>
      </c>
      <c r="D280" s="2" t="n">
        <v>8000</v>
      </c>
      <c r="E280" s="3" t="n">
        <v>30076</v>
      </c>
      <c r="F280" s="4" t="n">
        <v>10185.03125</v>
      </c>
      <c r="G280" s="3">
        <f>IF(OR(E280="",F280=""),"",E280+F280)</f>
        <v/>
      </c>
      <c r="H280" s="3" t="n">
        <v>47910.62718749999</v>
      </c>
      <c r="I280" s="3" t="n">
        <v>119776.56796875</v>
      </c>
      <c r="J280" s="3" t="n">
        <v>109900</v>
      </c>
      <c r="K280" s="3" t="n">
        <v>50794.11764705883</v>
      </c>
      <c r="L280" s="5" t="n">
        <v>0.2073682324840765</v>
      </c>
      <c r="M280" s="3" t="n">
        <v>64647.05882352941</v>
      </c>
      <c r="N280" s="5" t="n">
        <v>0.3772178969517743</v>
      </c>
      <c r="O280" s="3" t="n">
        <v>98829.64</v>
      </c>
      <c r="P280" s="5" t="n">
        <v>0.5926218971353129</v>
      </c>
      <c r="Q280" s="3" t="n">
        <v>69160</v>
      </c>
      <c r="R280" s="5" t="n">
        <v>0.4178566910063621</v>
      </c>
      <c r="S280" s="3" t="n">
        <v>67.60000000000001</v>
      </c>
      <c r="T280" s="5" t="n">
        <v>0.8432691091170975</v>
      </c>
      <c r="U280" s="6">
        <f>IF(OR(K280="",E280=""),"",(K280-E280)/K280)</f>
        <v/>
      </c>
      <c r="V280" s="6">
        <f>IF(OR(M280="",E280=""),"",(M280-E280)/M280)</f>
        <v/>
      </c>
      <c r="W280" s="6">
        <f>IF(OR(O280="",E280=""),"",(O280-E280)/O280)</f>
        <v/>
      </c>
      <c r="X280" s="6">
        <f>IF(OR(Q280="",E280=""),"",(Q280-E280)/Q280)</f>
        <v/>
      </c>
      <c r="Y280" s="6">
        <f>IF(OR(S280="",E280=""),"",((S280*3500)-E280)/(S280*3500))</f>
        <v/>
      </c>
      <c r="Z280" s="7" t="n"/>
    </row>
    <row r="281">
      <c r="A281" s="2" t="inlineStr">
        <is>
          <t>LA EMPERATRIZ</t>
        </is>
      </c>
      <c r="B281" s="2" t="inlineStr">
        <is>
          <t>CONSTELACIÓN STRAP TIE SIDE BOTTOM</t>
        </is>
      </c>
      <c r="C281" s="2" t="inlineStr">
        <is>
          <t>273236/CONST</t>
        </is>
      </c>
      <c r="D281" s="2" t="n">
        <v>8000</v>
      </c>
      <c r="E281" s="3" t="n">
        <v>31458</v>
      </c>
      <c r="F281" s="4" t="n">
        <v>10185.03125</v>
      </c>
      <c r="G281" s="3">
        <f>IF(OR(E281="",F281=""),"",E281+F281)</f>
        <v/>
      </c>
      <c r="H281" s="3" t="n">
        <v>49555.2071875</v>
      </c>
      <c r="I281" s="3" t="n">
        <v>123888.01796875</v>
      </c>
      <c r="J281" s="3" t="n">
        <v>119900</v>
      </c>
      <c r="K281" s="3" t="n">
        <v>55415.96638655462</v>
      </c>
      <c r="L281" s="5" t="n">
        <v>0.2485373085525817</v>
      </c>
      <c r="M281" s="3" t="n">
        <v>70529.41176470587</v>
      </c>
      <c r="N281" s="5" t="n">
        <v>0.409565028148457</v>
      </c>
      <c r="O281" s="3" t="n">
        <v>98829.64</v>
      </c>
      <c r="P281" s="5" t="n">
        <v>0.5786382379820467</v>
      </c>
      <c r="Q281" s="3" t="n">
        <v>69160</v>
      </c>
      <c r="R281" s="5" t="n">
        <v>0.3978740420763447</v>
      </c>
      <c r="S281" s="3" t="n">
        <v>67.60000000000001</v>
      </c>
      <c r="T281" s="5" t="n">
        <v>0.8378891651744005</v>
      </c>
      <c r="U281" s="6">
        <f>IF(OR(K281="",E281=""),"",(K281-E281)/K281)</f>
        <v/>
      </c>
      <c r="V281" s="6">
        <f>IF(OR(M281="",E281=""),"",(M281-E281)/M281)</f>
        <v/>
      </c>
      <c r="W281" s="6">
        <f>IF(OR(O281="",E281=""),"",(O281-E281)/O281)</f>
        <v/>
      </c>
      <c r="X281" s="6">
        <f>IF(OR(Q281="",E281=""),"",(Q281-E281)/Q281)</f>
        <v/>
      </c>
      <c r="Y281" s="6">
        <f>IF(OR(S281="",E281=""),"",((S281*3500)-E281)/(S281*3500))</f>
        <v/>
      </c>
      <c r="Z281" s="7" t="n"/>
    </row>
    <row r="282">
      <c r="A282" s="2" t="inlineStr">
        <is>
          <t>LA EMPERATRIZ</t>
        </is>
      </c>
      <c r="B282" s="2" t="inlineStr">
        <is>
          <t>CONSTELACIÓN SPORTY TOP</t>
        </is>
      </c>
      <c r="C282" s="2" t="inlineStr">
        <is>
          <t>273145/CONST</t>
        </is>
      </c>
      <c r="D282" s="2" t="n">
        <v>8000</v>
      </c>
      <c r="E282" s="3" t="n">
        <v>29721</v>
      </c>
      <c r="F282" s="4" t="n">
        <v>10185.03125</v>
      </c>
      <c r="G282" s="3">
        <f>IF(OR(E282="",F282=""),"",E282+F282)</f>
        <v/>
      </c>
      <c r="H282" s="3" t="n">
        <v>47488.1771875</v>
      </c>
      <c r="I282" s="3" t="n">
        <v>118720.44296875</v>
      </c>
      <c r="J282" s="3" t="n">
        <v>129900</v>
      </c>
      <c r="K282" s="3" t="n">
        <v>60037.81512605043</v>
      </c>
      <c r="L282" s="5" t="n">
        <v>0.335318396143887</v>
      </c>
      <c r="M282" s="3" t="n">
        <v>76411.76470588235</v>
      </c>
      <c r="N282" s="5" t="n">
        <v>0.4777501683987683</v>
      </c>
      <c r="O282" s="3" t="n">
        <v>114034.2</v>
      </c>
      <c r="P282" s="5" t="n">
        <v>0.6500520786746432</v>
      </c>
      <c r="Q282" s="3" t="n">
        <v>79800</v>
      </c>
      <c r="R282" s="5" t="n">
        <v>0.4999244204260652</v>
      </c>
      <c r="S282" s="3" t="n">
        <v>78</v>
      </c>
      <c r="T282" s="5" t="n">
        <v>0.8653642670377868</v>
      </c>
      <c r="U282" s="6">
        <f>IF(OR(K282="",E282=""),"",(K282-E282)/K282)</f>
        <v/>
      </c>
      <c r="V282" s="6">
        <f>IF(OR(M282="",E282=""),"",(M282-E282)/M282)</f>
        <v/>
      </c>
      <c r="W282" s="6">
        <f>IF(OR(O282="",E282=""),"",(O282-E282)/O282)</f>
        <v/>
      </c>
      <c r="X282" s="6">
        <f>IF(OR(Q282="",E282=""),"",(Q282-E282)/Q282)</f>
        <v/>
      </c>
      <c r="Y282" s="6">
        <f>IF(OR(S282="",E282=""),"",((S282*3500)-E282)/(S282*3500))</f>
        <v/>
      </c>
      <c r="Z282" s="7" t="n"/>
    </row>
    <row r="283">
      <c r="A283" s="2" t="inlineStr">
        <is>
          <t>LA EMPERATRIZ</t>
        </is>
      </c>
      <c r="B283" s="2" t="inlineStr">
        <is>
          <t>CONSTELACIÓN HIGH WAIST BOTTOM</t>
        </is>
      </c>
      <c r="C283" s="2" t="inlineStr">
        <is>
          <t>273223/CONST</t>
        </is>
      </c>
      <c r="D283" s="2" t="n">
        <v>8000</v>
      </c>
      <c r="E283" s="3" t="n">
        <v>21976.61</v>
      </c>
      <c r="F283" s="4" t="n">
        <v>10185.03125</v>
      </c>
      <c r="G283" s="3">
        <f>IF(OR(E283="",F283=""),"",E283+F283)</f>
        <v/>
      </c>
      <c r="H283" s="3" t="n">
        <v>38272.3530875</v>
      </c>
      <c r="I283" s="3" t="n">
        <v>95680.88271874998</v>
      </c>
      <c r="J283" s="3" t="n">
        <v>109900</v>
      </c>
      <c r="K283" s="3" t="n">
        <v>50794.11764705883</v>
      </c>
      <c r="L283" s="5" t="n">
        <v>0.3668235075275044</v>
      </c>
      <c r="M283" s="3" t="n">
        <v>64647.05882352941</v>
      </c>
      <c r="N283" s="5" t="n">
        <v>0.5025041844858962</v>
      </c>
      <c r="O283" s="3" t="n">
        <v>98829.64</v>
      </c>
      <c r="P283" s="5" t="n">
        <v>0.6745749428005606</v>
      </c>
      <c r="Q283" s="3" t="n">
        <v>69160</v>
      </c>
      <c r="R283" s="5" t="n">
        <v>0.5349675932620012</v>
      </c>
      <c r="S283" s="3" t="n">
        <v>67.60000000000001</v>
      </c>
      <c r="T283" s="5" t="n">
        <v>0.8747989674166926</v>
      </c>
      <c r="U283" s="6">
        <f>IF(OR(K283="",E283=""),"",(K283-E283)/K283)</f>
        <v/>
      </c>
      <c r="V283" s="6">
        <f>IF(OR(M283="",E283=""),"",(M283-E283)/M283)</f>
        <v/>
      </c>
      <c r="W283" s="6">
        <f>IF(OR(O283="",E283=""),"",(O283-E283)/O283)</f>
        <v/>
      </c>
      <c r="X283" s="6">
        <f>IF(OR(Q283="",E283=""),"",(Q283-E283)/Q283)</f>
        <v/>
      </c>
      <c r="Y283" s="6">
        <f>IF(OR(S283="",E283=""),"",((S283*3500)-E283)/(S283*3500))</f>
        <v/>
      </c>
      <c r="Z283" s="7" t="n"/>
    </row>
    <row r="284">
      <c r="A284" s="2" t="inlineStr">
        <is>
          <t>LA EMPERATRIZ</t>
        </is>
      </c>
      <c r="B284" s="2" t="inlineStr">
        <is>
          <t>CONSTELACIÓN ONE SHOULDER ONE PIECE</t>
        </is>
      </c>
      <c r="C284" s="2" t="inlineStr">
        <is>
          <t>273326/CONST</t>
        </is>
      </c>
      <c r="D284" s="2" t="n">
        <v>8000</v>
      </c>
      <c r="E284" s="3" t="n">
        <v>50818.26518928901</v>
      </c>
      <c r="F284" s="4" t="n">
        <v>10185.03125</v>
      </c>
      <c r="G284" s="3">
        <f>IF(OR(E284="",F284=""),"",E284+F284)</f>
        <v/>
      </c>
      <c r="H284" s="3" t="n">
        <v>72593.92276275392</v>
      </c>
      <c r="I284" s="3" t="n">
        <v>181484.8069068848</v>
      </c>
      <c r="J284" s="3" t="n">
        <v>199900</v>
      </c>
      <c r="K284" s="3" t="n">
        <v>92390.75630252103</v>
      </c>
      <c r="L284" s="5" t="n">
        <v>0.3397251101664113</v>
      </c>
      <c r="M284" s="3" t="n">
        <v>117588.2352941176</v>
      </c>
      <c r="N284" s="5" t="n">
        <v>0.481212586559323</v>
      </c>
      <c r="O284" s="3" t="n">
        <v>197659.28</v>
      </c>
      <c r="P284" s="5" t="n">
        <v>0.6913714527378172</v>
      </c>
      <c r="Q284" s="3" t="n">
        <v>138320</v>
      </c>
      <c r="R284" s="5" t="n">
        <v>0.5589698059623408</v>
      </c>
      <c r="S284" s="3" t="n">
        <v>135.2</v>
      </c>
      <c r="T284" s="5" t="n">
        <v>0.8812611016052456</v>
      </c>
      <c r="U284" s="6">
        <f>IF(OR(K284="",E284=""),"",(K284-E284)/K284)</f>
        <v/>
      </c>
      <c r="V284" s="6">
        <f>IF(OR(M284="",E284=""),"",(M284-E284)/M284)</f>
        <v/>
      </c>
      <c r="W284" s="6">
        <f>IF(OR(O284="",E284=""),"",(O284-E284)/O284)</f>
        <v/>
      </c>
      <c r="X284" s="6">
        <f>IF(OR(Q284="",E284=""),"",(Q284-E284)/Q284)</f>
        <v/>
      </c>
      <c r="Y284" s="6">
        <f>IF(OR(S284="",E284=""),"",((S284*3500)-E284)/(S284*3500))</f>
        <v/>
      </c>
      <c r="Z284" s="7" t="n"/>
    </row>
    <row r="285">
      <c r="A285" s="2" t="inlineStr">
        <is>
          <t>LA EMPERATRIZ</t>
        </is>
      </c>
      <c r="B285" s="2" t="inlineStr">
        <is>
          <t>CONSTELACIÓN RUCHED STRAPLESS ONE PIECE</t>
        </is>
      </c>
      <c r="C285" s="2" t="inlineStr">
        <is>
          <t>273373/CONST</t>
        </is>
      </c>
      <c r="D285" s="2" t="n">
        <v>8000</v>
      </c>
      <c r="E285" s="3" t="n">
        <v>42622</v>
      </c>
      <c r="F285" s="4" t="n">
        <v>10185.03125</v>
      </c>
      <c r="G285" s="3">
        <f>IF(OR(E285="",F285=""),"",E285+F285)</f>
        <v/>
      </c>
      <c r="H285" s="3" t="n">
        <v>62840.3671875</v>
      </c>
      <c r="I285" s="3" t="n">
        <v>157100.91796875</v>
      </c>
      <c r="J285" s="3" t="n">
        <v>199900</v>
      </c>
      <c r="K285" s="3" t="n">
        <v>92390.75630252103</v>
      </c>
      <c r="L285" s="5" t="n">
        <v>0.428438153735959</v>
      </c>
      <c r="M285" s="3" t="n">
        <v>117588.2352941176</v>
      </c>
      <c r="N285" s="5" t="n">
        <v>0.5509156922211105</v>
      </c>
      <c r="O285" s="3" t="n">
        <v>197659.28</v>
      </c>
      <c r="P285" s="5" t="n">
        <v>0.732838087591941</v>
      </c>
      <c r="Q285" s="3" t="n">
        <v>138320</v>
      </c>
      <c r="R285" s="5" t="n">
        <v>0.6182256271688837</v>
      </c>
      <c r="S285" s="3" t="n">
        <v>135.2</v>
      </c>
      <c r="T285" s="5" t="n">
        <v>0.8972145919300841</v>
      </c>
      <c r="U285" s="6">
        <f>IF(OR(K285="",E285=""),"",(K285-E285)/K285)</f>
        <v/>
      </c>
      <c r="V285" s="6">
        <f>IF(OR(M285="",E285=""),"",(M285-E285)/M285)</f>
        <v/>
      </c>
      <c r="W285" s="6">
        <f>IF(OR(O285="",E285=""),"",(O285-E285)/O285)</f>
        <v/>
      </c>
      <c r="X285" s="6">
        <f>IF(OR(Q285="",E285=""),"",(Q285-E285)/Q285)</f>
        <v/>
      </c>
      <c r="Y285" s="6">
        <f>IF(OR(S285="",E285=""),"",((S285*3500)-E285)/(S285*3500))</f>
        <v/>
      </c>
      <c r="Z285" s="7" t="n"/>
    </row>
    <row r="286">
      <c r="A286" s="2" t="inlineStr">
        <is>
          <t>LA EMPERATRIZ</t>
        </is>
      </c>
      <c r="B286" s="2" t="inlineStr">
        <is>
          <t>CONSTELACIÓN PAREO</t>
        </is>
      </c>
      <c r="C286" s="2" t="inlineStr">
        <is>
          <t>27RE22/CONST</t>
        </is>
      </c>
      <c r="D286" s="2" t="n">
        <v>8000</v>
      </c>
      <c r="E286" s="3" t="n">
        <v>22789.02857142857</v>
      </c>
      <c r="F286" s="4" t="n">
        <v>10185.03125</v>
      </c>
      <c r="G286" s="3">
        <f>IF(OR(E286="",F286=""),"",E286+F286)</f>
        <v/>
      </c>
      <c r="H286" s="3" t="n">
        <v>39239.1311875</v>
      </c>
      <c r="I286" s="3" t="n">
        <v>98097.82796874999</v>
      </c>
      <c r="J286" s="3" t="n">
        <v>139900</v>
      </c>
      <c r="K286" s="3" t="n">
        <v>64659.66386554623</v>
      </c>
      <c r="L286" s="5" t="n">
        <v>0.4900366341217754</v>
      </c>
      <c r="M286" s="3" t="n">
        <v>82294.11764705883</v>
      </c>
      <c r="N286" s="5" t="n">
        <v>0.5993144982385378</v>
      </c>
      <c r="O286" s="3" t="n">
        <v>136841.04</v>
      </c>
      <c r="P286" s="5" t="n">
        <v>0.7590338408606908</v>
      </c>
      <c r="Q286" s="3" t="n">
        <v>95760</v>
      </c>
      <c r="R286" s="5" t="n">
        <v>0.6556593585899272</v>
      </c>
      <c r="S286" s="3" t="n">
        <v>93.60000000000001</v>
      </c>
      <c r="T286" s="5" t="n">
        <v>0.9072929042357497</v>
      </c>
      <c r="U286" s="6">
        <f>IF(OR(K286="",E286=""),"",(K286-E286)/K286)</f>
        <v/>
      </c>
      <c r="V286" s="6">
        <f>IF(OR(M286="",E286=""),"",(M286-E286)/M286)</f>
        <v/>
      </c>
      <c r="W286" s="6">
        <f>IF(OR(O286="",E286=""),"",(O286-E286)/O286)</f>
        <v/>
      </c>
      <c r="X286" s="6">
        <f>IF(OR(Q286="",E286=""),"",(Q286-E286)/Q286)</f>
        <v/>
      </c>
      <c r="Y286" s="6">
        <f>IF(OR(S286="",E286=""),"",((S286*3500)-E286)/(S286*3500))</f>
        <v/>
      </c>
      <c r="Z286" s="7" t="n"/>
    </row>
    <row r="287">
      <c r="A287" s="2" t="inlineStr">
        <is>
          <t>LA EMPERATRIZ</t>
        </is>
      </c>
      <c r="B287" s="2" t="inlineStr">
        <is>
          <t>CONSTELACIÓN TOWEL</t>
        </is>
      </c>
      <c r="C287" s="2" t="inlineStr">
        <is>
          <t>27TO27/CONST</t>
        </is>
      </c>
      <c r="D287" s="2" t="n">
        <v>8000</v>
      </c>
      <c r="E287" s="3" t="n">
        <v>30842</v>
      </c>
      <c r="F287" s="4" t="n">
        <v>10185.03125</v>
      </c>
      <c r="G287" s="3">
        <f>IF(OR(E287="",F287=""),"",E287+F287)</f>
        <v/>
      </c>
      <c r="H287" s="3" t="n">
        <v>48822.1671875</v>
      </c>
      <c r="I287" s="3" t="n">
        <v>122055.41796875</v>
      </c>
      <c r="J287" s="3" t="n">
        <v>89900</v>
      </c>
      <c r="K287" s="3" t="n">
        <v>41550.42016806723</v>
      </c>
      <c r="L287" s="5" t="n">
        <v>0.01259647714632437</v>
      </c>
      <c r="M287" s="3" t="n">
        <v>52882.35294117647</v>
      </c>
      <c r="N287" s="5" t="n">
        <v>0.2241829463292547</v>
      </c>
      <c r="O287" s="3" t="n">
        <v>106431.92</v>
      </c>
      <c r="P287" s="5" t="n">
        <v>0.6145232440606163</v>
      </c>
      <c r="Q287" s="3" t="n">
        <v>74479.99999999999</v>
      </c>
      <c r="R287" s="5" t="n">
        <v>0.4491537157626208</v>
      </c>
      <c r="S287" s="3" t="n">
        <v>72.8</v>
      </c>
      <c r="T287" s="5" t="n">
        <v>0.8516952311668594</v>
      </c>
      <c r="U287" s="6">
        <f>IF(OR(K287="",E287=""),"",(K287-E287)/K287)</f>
        <v/>
      </c>
      <c r="V287" s="6">
        <f>IF(OR(M287="",E287=""),"",(M287-E287)/M287)</f>
        <v/>
      </c>
      <c r="W287" s="6">
        <f>IF(OR(O287="",E287=""),"",(O287-E287)/O287)</f>
        <v/>
      </c>
      <c r="X287" s="6">
        <f>IF(OR(Q287="",E287=""),"",(Q287-E287)/Q287)</f>
        <v/>
      </c>
      <c r="Y287" s="6">
        <f>IF(OR(S287="",E287=""),"",((S287*3500)-E287)/(S287*3500))</f>
        <v/>
      </c>
      <c r="Z287" s="7" t="n"/>
    </row>
    <row r="288">
      <c r="A288" s="2" t="inlineStr">
        <is>
          <t>LA EMPERATRIZ</t>
        </is>
      </c>
      <c r="B288" s="2" t="inlineStr">
        <is>
          <t>CONSTELACIÓN T-SHIRT</t>
        </is>
      </c>
      <c r="C288" s="2" t="inlineStr">
        <is>
          <t>27TSH20/CONST</t>
        </is>
      </c>
      <c r="D288" s="2" t="n">
        <v>8000</v>
      </c>
      <c r="E288" s="3" t="n">
        <v>35411.6</v>
      </c>
      <c r="F288" s="4" t="n">
        <v>10185.03125</v>
      </c>
      <c r="G288" s="3">
        <f>IF(OR(E288="",F288=""),"",E288+F288)</f>
        <v/>
      </c>
      <c r="H288" s="3" t="n">
        <v>54259.9911875</v>
      </c>
      <c r="I288" s="3" t="n">
        <v>135649.97796875</v>
      </c>
      <c r="J288" s="3" t="n">
        <v>129900</v>
      </c>
      <c r="K288" s="3" t="n">
        <v>60037.81512605043</v>
      </c>
      <c r="L288" s="5" t="n">
        <v>0.2405348003709148</v>
      </c>
      <c r="M288" s="3" t="n">
        <v>76411.76470588235</v>
      </c>
      <c r="N288" s="5" t="n">
        <v>0.4032773431485758</v>
      </c>
      <c r="O288" s="3" t="n">
        <v>129238.76</v>
      </c>
      <c r="P288" s="5" t="n">
        <v>0.6471907402237532</v>
      </c>
      <c r="Q288" s="3" t="n">
        <v>90439.99999999999</v>
      </c>
      <c r="R288" s="5" t="n">
        <v>0.4958355677797434</v>
      </c>
      <c r="S288" s="3" t="n">
        <v>88.40000000000001</v>
      </c>
      <c r="T288" s="5" t="n">
        <v>0.8642634220945464</v>
      </c>
      <c r="U288" s="6">
        <f>IF(OR(K288="",E288=""),"",(K288-E288)/K288)</f>
        <v/>
      </c>
      <c r="V288" s="6">
        <f>IF(OR(M288="",E288=""),"",(M288-E288)/M288)</f>
        <v/>
      </c>
      <c r="W288" s="6">
        <f>IF(OR(O288="",E288=""),"",(O288-E288)/O288)</f>
        <v/>
      </c>
      <c r="X288" s="6">
        <f>IF(OR(Q288="",E288=""),"",(Q288-E288)/Q288)</f>
        <v/>
      </c>
      <c r="Y288" s="6">
        <f>IF(OR(S288="",E288=""),"",((S288*3500)-E288)/(S288*3500))</f>
        <v/>
      </c>
      <c r="Z288" s="7" t="n"/>
    </row>
    <row r="289">
      <c r="A289" s="2" t="inlineStr">
        <is>
          <t>LA EMPERATRIZ</t>
        </is>
      </c>
      <c r="B289" s="2" t="inlineStr">
        <is>
          <t>CONSTELACIÓN SHIRT</t>
        </is>
      </c>
      <c r="C289" s="2" t="inlineStr">
        <is>
          <t>27CA21/CONST</t>
        </is>
      </c>
      <c r="D289" s="2" t="n">
        <v>8000</v>
      </c>
      <c r="E289" s="3" t="n">
        <v>47099</v>
      </c>
      <c r="F289" s="4" t="n">
        <v>10185.03125</v>
      </c>
      <c r="G289" s="3">
        <f>IF(OR(E289="",F289=""),"",E289+F289)</f>
        <v/>
      </c>
      <c r="H289" s="3" t="n">
        <v>68167.99718749999</v>
      </c>
      <c r="I289" s="3" t="n">
        <v>170419.99296875</v>
      </c>
      <c r="J289" s="3" t="n">
        <v>169900</v>
      </c>
      <c r="K289" s="3" t="n">
        <v>78525.21008403362</v>
      </c>
      <c r="L289" s="5" t="n">
        <v>0.2705013945368934</v>
      </c>
      <c r="M289" s="3" t="n">
        <v>99941.17647058824</v>
      </c>
      <c r="N289" s="5" t="n">
        <v>0.4268225242789876</v>
      </c>
      <c r="O289" s="3" t="n">
        <v>174852.44</v>
      </c>
      <c r="P289" s="5" t="n">
        <v>0.6723864348132631</v>
      </c>
      <c r="Q289" s="3" t="n">
        <v>122360</v>
      </c>
      <c r="R289" s="5" t="n">
        <v>0.531840215348153</v>
      </c>
      <c r="S289" s="3" t="n">
        <v>119.6</v>
      </c>
      <c r="T289" s="5" t="n">
        <v>0.873956981055272</v>
      </c>
      <c r="U289" s="6">
        <f>IF(OR(K289="",E289=""),"",(K289-E289)/K289)</f>
        <v/>
      </c>
      <c r="V289" s="6">
        <f>IF(OR(M289="",E289=""),"",(M289-E289)/M289)</f>
        <v/>
      </c>
      <c r="W289" s="6">
        <f>IF(OR(O289="",E289=""),"",(O289-E289)/O289)</f>
        <v/>
      </c>
      <c r="X289" s="6">
        <f>IF(OR(Q289="",E289=""),"",(Q289-E289)/Q289)</f>
        <v/>
      </c>
      <c r="Y289" s="6">
        <f>IF(OR(S289="",E289=""),"",((S289*3500)-E289)/(S289*3500))</f>
        <v/>
      </c>
      <c r="Z289" s="7" t="n"/>
    </row>
    <row r="290">
      <c r="A290" s="2" t="inlineStr">
        <is>
          <t>LA EMPERATRIZ</t>
        </is>
      </c>
      <c r="B290" s="2" t="inlineStr">
        <is>
          <t>CONSTELACIÓN WRAP SKORT</t>
        </is>
      </c>
      <c r="C290" s="2" t="inlineStr">
        <is>
          <t>27FA25/CONST</t>
        </is>
      </c>
      <c r="D290" s="2" t="n">
        <v>8000</v>
      </c>
      <c r="E290" s="3" t="n">
        <v>36274</v>
      </c>
      <c r="F290" s="4" t="n">
        <v>10185.03125</v>
      </c>
      <c r="G290" s="3">
        <f>IF(OR(E290="",F290=""),"",E290+F290)</f>
        <v/>
      </c>
      <c r="H290" s="3" t="n">
        <v>55286.2471875</v>
      </c>
      <c r="I290" s="3" t="n">
        <v>138215.61796875</v>
      </c>
      <c r="J290" s="3" t="n">
        <v>139900</v>
      </c>
      <c r="K290" s="3" t="n">
        <v>64659.66386554623</v>
      </c>
      <c r="L290" s="5" t="n">
        <v>0.2814835637468323</v>
      </c>
      <c r="M290" s="3" t="n">
        <v>82294.11764705883</v>
      </c>
      <c r="N290" s="5" t="n">
        <v>0.4354513715153681</v>
      </c>
      <c r="O290" s="3" t="n">
        <v>167250.16</v>
      </c>
      <c r="P290" s="5" t="n">
        <v>0.7222183150676806</v>
      </c>
      <c r="Q290" s="3" t="n">
        <v>117040</v>
      </c>
      <c r="R290" s="5" t="n">
        <v>0.6030499722317156</v>
      </c>
      <c r="S290" s="3" t="n">
        <v>114.4</v>
      </c>
      <c r="T290" s="5" t="n">
        <v>0.8931288386777696</v>
      </c>
      <c r="U290" s="6">
        <f>IF(OR(K290="",E290=""),"",(K290-E290)/K290)</f>
        <v/>
      </c>
      <c r="V290" s="6">
        <f>IF(OR(M290="",E290=""),"",(M290-E290)/M290)</f>
        <v/>
      </c>
      <c r="W290" s="6">
        <f>IF(OR(O290="",E290=""),"",(O290-E290)/O290)</f>
        <v/>
      </c>
      <c r="X290" s="6">
        <f>IF(OR(Q290="",E290=""),"",(Q290-E290)/Q290)</f>
        <v/>
      </c>
      <c r="Y290" s="6">
        <f>IF(OR(S290="",E290=""),"",((S290*3500)-E290)/(S290*3500))</f>
        <v/>
      </c>
      <c r="Z290" s="7" t="n"/>
    </row>
    <row r="291">
      <c r="A291" s="2" t="inlineStr">
        <is>
          <t>LA EMPERATRIZ</t>
        </is>
      </c>
      <c r="B291" s="2" t="inlineStr">
        <is>
          <t>CONSTELACIÓN MESH LONG DRESS</t>
        </is>
      </c>
      <c r="C291" s="2" t="inlineStr">
        <is>
          <t>27VE36/CONST</t>
        </is>
      </c>
      <c r="D291" s="2" t="n">
        <v>8000</v>
      </c>
      <c r="E291" s="3" t="n">
        <v>49635.625</v>
      </c>
      <c r="F291" s="4" t="n">
        <v>10185.03125</v>
      </c>
      <c r="G291" s="3">
        <f>IF(OR(E291="",F291=""),"",E291+F291)</f>
        <v/>
      </c>
      <c r="H291" s="3" t="n">
        <v>71186.5809375</v>
      </c>
      <c r="I291" s="3" t="n">
        <v>177966.45234375</v>
      </c>
      <c r="J291" s="3" t="n">
        <v>169900</v>
      </c>
      <c r="K291" s="3" t="n">
        <v>78525.21008403362</v>
      </c>
      <c r="L291" s="5" t="n">
        <v>0.2381980744020548</v>
      </c>
      <c r="M291" s="3" t="n">
        <v>99941.17647058824</v>
      </c>
      <c r="N291" s="5" t="n">
        <v>0.401441344173043</v>
      </c>
      <c r="O291" s="3" t="n">
        <v>182454.72</v>
      </c>
      <c r="P291" s="5" t="n">
        <v>0.6721342355517028</v>
      </c>
      <c r="Q291" s="3" t="n">
        <v>127680</v>
      </c>
      <c r="R291" s="5" t="n">
        <v>0.5314798226033834</v>
      </c>
      <c r="S291" s="3" t="n">
        <v>124.8</v>
      </c>
      <c r="T291" s="5" t="n">
        <v>0.8738599522393725</v>
      </c>
      <c r="U291" s="6">
        <f>IF(OR(K291="",E291=""),"",(K291-E291)/K291)</f>
        <v/>
      </c>
      <c r="V291" s="6">
        <f>IF(OR(M291="",E291=""),"",(M291-E291)/M291)</f>
        <v/>
      </c>
      <c r="W291" s="6">
        <f>IF(OR(O291="",E291=""),"",(O291-E291)/O291)</f>
        <v/>
      </c>
      <c r="X291" s="6">
        <f>IF(OR(Q291="",E291=""),"",(Q291-E291)/Q291)</f>
        <v/>
      </c>
      <c r="Y291" s="6">
        <f>IF(OR(S291="",E291=""),"",((S291*3500)-E291)/(S291*3500))</f>
        <v/>
      </c>
      <c r="Z291" s="7" t="n"/>
    </row>
    <row r="292">
      <c r="A292" s="2" t="inlineStr">
        <is>
          <t>LA EMPERATRIZ</t>
        </is>
      </c>
      <c r="B292" s="2" t="inlineStr">
        <is>
          <t>CONSTELACIÓN MESH DRESS</t>
        </is>
      </c>
      <c r="C292" s="2" t="inlineStr">
        <is>
          <t>27VE32/CONST</t>
        </is>
      </c>
      <c r="D292" s="2" t="n">
        <v>8000</v>
      </c>
      <c r="E292" s="3" t="n">
        <v>51220.07</v>
      </c>
      <c r="F292" s="4" t="n">
        <v>10185.03125</v>
      </c>
      <c r="G292" s="3">
        <f>IF(OR(E292="",F292=""),"",E292+F292)</f>
        <v/>
      </c>
      <c r="H292" s="3" t="n">
        <v>73072.07048749999</v>
      </c>
      <c r="I292" s="3" t="n">
        <v>182680.17621875</v>
      </c>
      <c r="J292" s="3" t="n">
        <v>169900</v>
      </c>
      <c r="K292" s="3" t="n">
        <v>78525.21008403362</v>
      </c>
      <c r="L292" s="5" t="n">
        <v>0.2180205416287657</v>
      </c>
      <c r="M292" s="3" t="n">
        <v>99941.17647058824</v>
      </c>
      <c r="N292" s="5" t="n">
        <v>0.3855875684226016</v>
      </c>
      <c r="O292" s="3" t="n">
        <v>182454.72</v>
      </c>
      <c r="P292" s="5" t="n">
        <v>0.6634501905459063</v>
      </c>
      <c r="Q292" s="3" t="n">
        <v>127680</v>
      </c>
      <c r="R292" s="5" t="n">
        <v>0.5190703222901003</v>
      </c>
      <c r="S292" s="3" t="n">
        <v>124.8</v>
      </c>
      <c r="T292" s="5" t="n">
        <v>0.8705189329242577</v>
      </c>
      <c r="U292" s="6">
        <f>IF(OR(K292="",E292=""),"",(K292-E292)/K292)</f>
        <v/>
      </c>
      <c r="V292" s="6">
        <f>IF(OR(M292="",E292=""),"",(M292-E292)/M292)</f>
        <v/>
      </c>
      <c r="W292" s="6">
        <f>IF(OR(O292="",E292=""),"",(O292-E292)/O292)</f>
        <v/>
      </c>
      <c r="X292" s="6">
        <f>IF(OR(Q292="",E292=""),"",(Q292-E292)/Q292)</f>
        <v/>
      </c>
      <c r="Y292" s="6">
        <f>IF(OR(S292="",E292=""),"",((S292*3500)-E292)/(S292*3500))</f>
        <v/>
      </c>
      <c r="Z292" s="7" t="n"/>
    </row>
    <row r="293">
      <c r="A293" s="2" t="inlineStr">
        <is>
          <t>LA EMPERATRIZ</t>
        </is>
      </c>
      <c r="B293" s="2" t="inlineStr">
        <is>
          <t>CONSTELACIÓN MESH SHIRT</t>
        </is>
      </c>
      <c r="C293" s="2" t="inlineStr">
        <is>
          <t>27CA36/CONST</t>
        </is>
      </c>
      <c r="D293" s="2" t="n">
        <v>8000</v>
      </c>
      <c r="E293" s="3" t="n">
        <v>30229.34408602151</v>
      </c>
      <c r="F293" s="4" t="n">
        <v>10185.03125</v>
      </c>
      <c r="G293" s="3">
        <f>IF(OR(E293="",F293=""),"",E293+F293)</f>
        <v/>
      </c>
      <c r="H293" s="3" t="n">
        <v>48093.10664986559</v>
      </c>
      <c r="I293" s="3" t="n">
        <v>120232.766624664</v>
      </c>
      <c r="J293" s="3" t="n">
        <v>129900</v>
      </c>
      <c r="K293" s="3" t="n">
        <v>60037.81512605043</v>
      </c>
      <c r="L293" s="5" t="n">
        <v>0.3268513310957298</v>
      </c>
      <c r="M293" s="3" t="n">
        <v>76411.76470588235</v>
      </c>
      <c r="N293" s="5" t="n">
        <v>0.4710974744323591</v>
      </c>
      <c r="O293" s="3" t="n">
        <v>144443.32</v>
      </c>
      <c r="P293" s="5" t="n">
        <v>0.7202059926618862</v>
      </c>
      <c r="Q293" s="3" t="n">
        <v>101080</v>
      </c>
      <c r="R293" s="5" t="n">
        <v>0.6001743635138355</v>
      </c>
      <c r="S293" s="3" t="n">
        <v>98.8</v>
      </c>
      <c r="T293" s="5" t="n">
        <v>0.8923546363306479</v>
      </c>
      <c r="U293" s="6">
        <f>IF(OR(K293="",E293=""),"",(K293-E293)/K293)</f>
        <v/>
      </c>
      <c r="V293" s="6">
        <f>IF(OR(M293="",E293=""),"",(M293-E293)/M293)</f>
        <v/>
      </c>
      <c r="W293" s="6">
        <f>IF(OR(O293="",E293=""),"",(O293-E293)/O293)</f>
        <v/>
      </c>
      <c r="X293" s="6">
        <f>IF(OR(Q293="",E293=""),"",(Q293-E293)/Q293)</f>
        <v/>
      </c>
      <c r="Y293" s="6">
        <f>IF(OR(S293="",E293=""),"",((S293*3500)-E293)/(S293*3500))</f>
        <v/>
      </c>
      <c r="Z293" s="7" t="n"/>
    </row>
    <row r="294">
      <c r="A294" s="2" t="inlineStr">
        <is>
          <t>LA EMPERATRIZ</t>
        </is>
      </c>
      <c r="B294" s="2" t="inlineStr">
        <is>
          <t>CONSTELACIÓN MESH LONG SHIRT</t>
        </is>
      </c>
      <c r="C294" s="2" t="inlineStr">
        <is>
          <t>27CA32/CONST</t>
        </is>
      </c>
      <c r="D294" s="2" t="n">
        <v>8000</v>
      </c>
      <c r="E294" s="3" t="n">
        <v>26982</v>
      </c>
      <c r="F294" s="4" t="n">
        <v>10185.03125</v>
      </c>
      <c r="G294" s="3">
        <f>IF(OR(E294="",F294=""),"",E294+F294)</f>
        <v/>
      </c>
      <c r="H294" s="3" t="n">
        <v>44228.7671875</v>
      </c>
      <c r="I294" s="3" t="n">
        <v>110571.91796875</v>
      </c>
      <c r="J294" s="3" t="n">
        <v>119900</v>
      </c>
      <c r="K294" s="3" t="n">
        <v>55415.96638655462</v>
      </c>
      <c r="L294" s="5" t="n">
        <v>0.3293082540374555</v>
      </c>
      <c r="M294" s="3" t="n">
        <v>70529.41176470587</v>
      </c>
      <c r="N294" s="5" t="n">
        <v>0.4730279138865721</v>
      </c>
      <c r="O294" s="3" t="n">
        <v>114034.2</v>
      </c>
      <c r="P294" s="5" t="n">
        <v>0.6740711887310999</v>
      </c>
      <c r="Q294" s="3" t="n">
        <v>79800</v>
      </c>
      <c r="R294" s="5" t="n">
        <v>0.5342477286967419</v>
      </c>
      <c r="S294" s="3" t="n">
        <v>78</v>
      </c>
      <c r="T294" s="5" t="n">
        <v>0.8746051577260459</v>
      </c>
      <c r="U294" s="6">
        <f>IF(OR(K294="",E294=""),"",(K294-E294)/K294)</f>
        <v/>
      </c>
      <c r="V294" s="6">
        <f>IF(OR(M294="",E294=""),"",(M294-E294)/M294)</f>
        <v/>
      </c>
      <c r="W294" s="6">
        <f>IF(OR(O294="",E294=""),"",(O294-E294)/O294)</f>
        <v/>
      </c>
      <c r="X294" s="6">
        <f>IF(OR(Q294="",E294=""),"",(Q294-E294)/Q294)</f>
        <v/>
      </c>
      <c r="Y294" s="6">
        <f>IF(OR(S294="",E294=""),"",((S294*3500)-E294)/(S294*3500))</f>
        <v/>
      </c>
      <c r="Z294" s="7" t="n"/>
    </row>
    <row r="295">
      <c r="A295" s="2" t="inlineStr">
        <is>
          <t>LA EMPERATRIZ</t>
        </is>
      </c>
      <c r="B295" s="2" t="inlineStr">
        <is>
          <t>CONSTELACIÓN SLEEP SLEEVELESS SHIRT</t>
        </is>
      </c>
      <c r="C295" s="2" t="inlineStr">
        <is>
          <t>274124/CONST</t>
        </is>
      </c>
      <c r="D295" s="2" t="n">
        <v>8000</v>
      </c>
      <c r="E295" s="3" t="n">
        <v>18336.66</v>
      </c>
      <c r="F295" s="4" t="n">
        <v>10185.03125</v>
      </c>
      <c r="G295" s="3">
        <f>IF(OR(E295="",F295=""),"",E295+F295)</f>
        <v/>
      </c>
      <c r="H295" s="3" t="n">
        <v>33940.8125875</v>
      </c>
      <c r="I295" s="3" t="n">
        <v>84852.03146874999</v>
      </c>
      <c r="J295" s="3" t="n">
        <v>79950</v>
      </c>
      <c r="K295" s="3" t="n">
        <v>36951.68067226891</v>
      </c>
      <c r="L295" s="5" t="n">
        <v>0.2281354804138952</v>
      </c>
      <c r="M295" s="3" t="n">
        <v>47029.41176470588</v>
      </c>
      <c r="N295" s="5" t="n">
        <v>0.3935350203252032</v>
      </c>
      <c r="O295" s="3" t="n">
        <v>49414.82</v>
      </c>
      <c r="P295" s="5" t="n">
        <v>0.4228109856516729</v>
      </c>
      <c r="Q295" s="3" t="n">
        <v>34580</v>
      </c>
      <c r="R295" s="5" t="n">
        <v>0.1751968984962406</v>
      </c>
      <c r="S295" s="3" t="n">
        <v>33.8</v>
      </c>
      <c r="T295" s="5" t="n">
        <v>0.7779376265182186</v>
      </c>
      <c r="U295" s="6">
        <f>IF(OR(K295="",E295=""),"",(K295-E295)/K295)</f>
        <v/>
      </c>
      <c r="V295" s="6">
        <f>IF(OR(M295="",E295=""),"",(M295-E295)/M295)</f>
        <v/>
      </c>
      <c r="W295" s="6">
        <f>IF(OR(O295="",E295=""),"",(O295-E295)/O295)</f>
        <v/>
      </c>
      <c r="X295" s="6">
        <f>IF(OR(Q295="",E295=""),"",(Q295-E295)/Q295)</f>
        <v/>
      </c>
      <c r="Y295" s="6">
        <f>IF(OR(S295="",E295=""),"",((S295*3500)-E295)/(S295*3500))</f>
        <v/>
      </c>
      <c r="Z295" s="7" t="n"/>
    </row>
    <row r="296">
      <c r="A296" s="2" t="inlineStr">
        <is>
          <t>LA EMPERATRIZ</t>
        </is>
      </c>
      <c r="B296" s="2" t="inlineStr">
        <is>
          <t>CONSTELACIÓN SLEEP SHORT</t>
        </is>
      </c>
      <c r="C296" s="2" t="inlineStr">
        <is>
          <t>274222/CONST</t>
        </is>
      </c>
      <c r="D296" s="2" t="n">
        <v>8000</v>
      </c>
      <c r="E296" s="3" t="n">
        <v>18737.81</v>
      </c>
      <c r="F296" s="4" t="n">
        <v>10185.03125</v>
      </c>
      <c r="G296" s="3">
        <f>IF(OR(E296="",F296=""),"",E296+F296)</f>
        <v/>
      </c>
      <c r="H296" s="3" t="n">
        <v>34418.1810875</v>
      </c>
      <c r="I296" s="3" t="n">
        <v>86045.45271874999</v>
      </c>
      <c r="J296" s="3" t="n">
        <v>99950</v>
      </c>
      <c r="K296" s="3" t="n">
        <v>46195.37815126051</v>
      </c>
      <c r="L296" s="5" t="n">
        <v>0.373901840238301</v>
      </c>
      <c r="M296" s="3" t="n">
        <v>58794.11764705882</v>
      </c>
      <c r="N296" s="5" t="n">
        <v>0.5080657316158078</v>
      </c>
      <c r="O296" s="3" t="n">
        <v>49414.82</v>
      </c>
      <c r="P296" s="5" t="n">
        <v>0.4146929757105257</v>
      </c>
      <c r="Q296" s="3" t="n">
        <v>34580</v>
      </c>
      <c r="R296" s="5" t="n">
        <v>0.1635962622903412</v>
      </c>
      <c r="S296" s="3" t="n">
        <v>33.8</v>
      </c>
      <c r="T296" s="5" t="n">
        <v>0.7748143783089381</v>
      </c>
      <c r="U296" s="6">
        <f>IF(OR(K296="",E296=""),"",(K296-E296)/K296)</f>
        <v/>
      </c>
      <c r="V296" s="6">
        <f>IF(OR(M296="",E296=""),"",(M296-E296)/M296)</f>
        <v/>
      </c>
      <c r="W296" s="6">
        <f>IF(OR(O296="",E296=""),"",(O296-E296)/O296)</f>
        <v/>
      </c>
      <c r="X296" s="6">
        <f>IF(OR(Q296="",E296=""),"",(Q296-E296)/Q296)</f>
        <v/>
      </c>
      <c r="Y296" s="6">
        <f>IF(OR(S296="",E296=""),"",((S296*3500)-E296)/(S296*3500))</f>
        <v/>
      </c>
      <c r="Z296" s="7" t="n"/>
    </row>
    <row r="297">
      <c r="A297" s="2" t="inlineStr">
        <is>
          <t>LA EMPERATRIZ</t>
        </is>
      </c>
      <c r="B297" s="2" t="inlineStr">
        <is>
          <t>CONSTELACIÓN SLEEP LONG SHIRT</t>
        </is>
      </c>
      <c r="C297" s="2" t="inlineStr">
        <is>
          <t>274121/CONST</t>
        </is>
      </c>
      <c r="D297" s="2" t="n">
        <v>8000</v>
      </c>
      <c r="E297" s="3" t="n">
        <v>32611.31</v>
      </c>
      <c r="F297" s="4" t="n">
        <v>10185.03125</v>
      </c>
      <c r="G297" s="3">
        <f>IF(OR(E297="",F297=""),"",E297+F297)</f>
        <v/>
      </c>
      <c r="H297" s="3" t="n">
        <v>50927.6460875</v>
      </c>
      <c r="I297" s="3" t="n">
        <v>127319.11521875</v>
      </c>
      <c r="J297" s="3" t="n">
        <v>99950</v>
      </c>
      <c r="K297" s="3" t="n">
        <v>46195.37815126051</v>
      </c>
      <c r="L297" s="5" t="n">
        <v>0.07357958820319273</v>
      </c>
      <c r="M297" s="3" t="n">
        <v>58794.11764705882</v>
      </c>
      <c r="N297" s="5" t="n">
        <v>0.2720982478739369</v>
      </c>
      <c r="O297" s="3" t="n">
        <v>64619.37999999999</v>
      </c>
      <c r="P297" s="5" t="n">
        <v>0.3377166223198055</v>
      </c>
      <c r="Q297" s="3" t="n">
        <v>45219.99999999999</v>
      </c>
      <c r="R297" s="5" t="n">
        <v>0.05359705329500211</v>
      </c>
      <c r="S297" s="3" t="n">
        <v>44.2</v>
      </c>
      <c r="T297" s="5" t="n">
        <v>0.7451992066563468</v>
      </c>
      <c r="U297" s="6">
        <f>IF(OR(K297="",E297=""),"",(K297-E297)/K297)</f>
        <v/>
      </c>
      <c r="V297" s="6">
        <f>IF(OR(M297="",E297=""),"",(M297-E297)/M297)</f>
        <v/>
      </c>
      <c r="W297" s="6">
        <f>IF(OR(O297="",E297=""),"",(O297-E297)/O297)</f>
        <v/>
      </c>
      <c r="X297" s="6">
        <f>IF(OR(Q297="",E297=""),"",(Q297-E297)/Q297)</f>
        <v/>
      </c>
      <c r="Y297" s="6">
        <f>IF(OR(S297="",E297=""),"",((S297*3500)-E297)/(S297*3500))</f>
        <v/>
      </c>
      <c r="Z297" s="7" t="n"/>
    </row>
    <row r="298">
      <c r="A298" s="2" t="inlineStr">
        <is>
          <t>LA EMPERATRIZ</t>
        </is>
      </c>
      <c r="B298" s="2" t="inlineStr">
        <is>
          <t>CONSTELACIÓN SLEEP PANTS</t>
        </is>
      </c>
      <c r="C298" s="2" t="inlineStr">
        <is>
          <t>274323/CONST</t>
        </is>
      </c>
      <c r="D298" s="2" t="n">
        <v>8000</v>
      </c>
      <c r="E298" s="3" t="n">
        <v>28786.53</v>
      </c>
      <c r="F298" s="4" t="n">
        <v>10185.03125</v>
      </c>
      <c r="G298" s="3">
        <f>IF(OR(E298="",F298=""),"",E298+F298)</f>
        <v/>
      </c>
      <c r="H298" s="3" t="n">
        <v>46376.1578875</v>
      </c>
      <c r="I298" s="3" t="n">
        <v>115940.39471875</v>
      </c>
      <c r="J298" s="3" t="n">
        <v>99950</v>
      </c>
      <c r="K298" s="3" t="n">
        <v>46195.37815126051</v>
      </c>
      <c r="L298" s="5" t="n">
        <v>0.1563753169766703</v>
      </c>
      <c r="M298" s="3" t="n">
        <v>58794.11764705882</v>
      </c>
      <c r="N298" s="5" t="n">
        <v>0.3371520347673836</v>
      </c>
      <c r="O298" s="3" t="n">
        <v>57017.1</v>
      </c>
      <c r="P298" s="5" t="n">
        <v>0.3164934510874808</v>
      </c>
      <c r="Q298" s="3" t="n">
        <v>39900</v>
      </c>
      <c r="R298" s="5" t="n">
        <v>0.02326914160401005</v>
      </c>
      <c r="S298" s="3" t="n">
        <v>39</v>
      </c>
      <c r="T298" s="5" t="n">
        <v>0.7370339996626181</v>
      </c>
      <c r="U298" s="6">
        <f>IF(OR(K298="",E298=""),"",(K298-E298)/K298)</f>
        <v/>
      </c>
      <c r="V298" s="6">
        <f>IF(OR(M298="",E298=""),"",(M298-E298)/M298)</f>
        <v/>
      </c>
      <c r="W298" s="6">
        <f>IF(OR(O298="",E298=""),"",(O298-E298)/O298)</f>
        <v/>
      </c>
      <c r="X298" s="6">
        <f>IF(OR(Q298="",E298=""),"",(Q298-E298)/Q298)</f>
        <v/>
      </c>
      <c r="Y298" s="6">
        <f>IF(OR(S298="",E298=""),"",((S298*3500)-E298)/(S298*3500))</f>
        <v/>
      </c>
      <c r="Z298" s="7" t="n"/>
    </row>
    <row r="299">
      <c r="A299" s="2" t="inlineStr">
        <is>
          <t>LA EMPERATRIZ</t>
        </is>
      </c>
      <c r="B299" s="2" t="inlineStr">
        <is>
          <t>CONSTELACIÓN SLEEP SHORT SLEEVELESS SHIRT</t>
        </is>
      </c>
      <c r="C299" s="2" t="inlineStr">
        <is>
          <t>274125/CONST</t>
        </is>
      </c>
      <c r="D299" s="2" t="n">
        <v>8000</v>
      </c>
      <c r="E299" s="3" t="n">
        <v>21807.84375</v>
      </c>
      <c r="F299" s="4" t="n">
        <v>10185.03125</v>
      </c>
      <c r="G299" s="3">
        <f>IF(OR(E299="",F299=""),"",E299+F299)</f>
        <v/>
      </c>
      <c r="H299" s="3" t="n">
        <v>38071.52125</v>
      </c>
      <c r="I299" s="3" t="n">
        <v>95178.80312499999</v>
      </c>
      <c r="J299" s="3" t="n">
        <v>89950</v>
      </c>
      <c r="K299" s="3" t="n">
        <v>41573.52941176471</v>
      </c>
      <c r="L299" s="5" t="n">
        <v>0.2304508312698976</v>
      </c>
      <c r="M299" s="3" t="n">
        <v>52911.76470588235</v>
      </c>
      <c r="N299" s="5" t="n">
        <v>0.395354224569205</v>
      </c>
      <c r="O299" s="3" t="n">
        <v>53215.95999999999</v>
      </c>
      <c r="P299" s="5" t="n">
        <v>0.3988105260151277</v>
      </c>
      <c r="Q299" s="3" t="n">
        <v>37239.99999999999</v>
      </c>
      <c r="R299" s="5" t="n">
        <v>0.1409002416756175</v>
      </c>
      <c r="S299" s="3" t="n">
        <v>36.4</v>
      </c>
      <c r="T299" s="5" t="n">
        <v>0.7687039112203586</v>
      </c>
      <c r="U299" s="6">
        <f>IF(OR(K299="",E299=""),"",(K299-E299)/K299)</f>
        <v/>
      </c>
      <c r="V299" s="6">
        <f>IF(OR(M299="",E299=""),"",(M299-E299)/M299)</f>
        <v/>
      </c>
      <c r="W299" s="6">
        <f>IF(OR(O299="",E299=""),"",(O299-E299)/O299)</f>
        <v/>
      </c>
      <c r="X299" s="6">
        <f>IF(OR(Q299="",E299=""),"",(Q299-E299)/Q299)</f>
        <v/>
      </c>
      <c r="Y299" s="6">
        <f>IF(OR(S299="",E299=""),"",((S299*3500)-E299)/(S299*3500))</f>
        <v/>
      </c>
      <c r="Z299" s="7" t="n"/>
    </row>
    <row r="300">
      <c r="A300" s="2" t="inlineStr">
        <is>
          <t>LA EMPERATRIZ</t>
        </is>
      </c>
      <c r="B300" s="2" t="inlineStr">
        <is>
          <t>I'M BLACK RING BANDEAU TOP</t>
        </is>
      </c>
      <c r="C300" s="2" t="inlineStr">
        <is>
          <t>273141/BLA</t>
        </is>
      </c>
      <c r="D300" s="2" t="n">
        <v>8000</v>
      </c>
      <c r="E300" s="3" t="n">
        <v>43790</v>
      </c>
      <c r="F300" s="4" t="n">
        <v>10185.03125</v>
      </c>
      <c r="G300" s="3">
        <f>IF(OR(E300="",F300=""),"",E300+F300)</f>
        <v/>
      </c>
      <c r="H300" s="3" t="n">
        <v>64230.2871875</v>
      </c>
      <c r="I300" s="3" t="n">
        <v>160575.71796875</v>
      </c>
      <c r="J300" s="3" t="n">
        <v>139900</v>
      </c>
      <c r="K300" s="3" t="n">
        <v>64659.66386554623</v>
      </c>
      <c r="L300" s="5" t="n">
        <v>0.1652441719734877</v>
      </c>
      <c r="M300" s="3" t="n">
        <v>82294.11764705883</v>
      </c>
      <c r="N300" s="5" t="n">
        <v>0.3441204208363117</v>
      </c>
      <c r="O300" s="3" t="n">
        <v>133039.9</v>
      </c>
      <c r="P300" s="5" t="n">
        <v>0.5942944090457073</v>
      </c>
      <c r="Q300" s="3" t="n">
        <v>93100</v>
      </c>
      <c r="R300" s="5" t="n">
        <v>0.4202467105263158</v>
      </c>
      <c r="S300" s="3" t="n">
        <v>91</v>
      </c>
      <c r="T300" s="5" t="n">
        <v>0.8439125759109312</v>
      </c>
      <c r="U300" s="6">
        <f>IF(OR(K300="",E300=""),"",(K300-E300)/K300)</f>
        <v/>
      </c>
      <c r="V300" s="6">
        <f>IF(OR(M300="",E300=""),"",(M300-E300)/M300)</f>
        <v/>
      </c>
      <c r="W300" s="6">
        <f>IF(OR(O300="",E300=""),"",(O300-E300)/O300)</f>
        <v/>
      </c>
      <c r="X300" s="6">
        <f>IF(OR(Q300="",E300=""),"",(Q300-E300)/Q300)</f>
        <v/>
      </c>
      <c r="Y300" s="6">
        <f>IF(OR(S300="",E300=""),"",((S300*3500)-E300)/(S300*3500))</f>
        <v/>
      </c>
      <c r="Z300" s="7" t="n"/>
    </row>
    <row r="301">
      <c r="A301" s="2" t="inlineStr">
        <is>
          <t>LA EMPERATRIZ</t>
        </is>
      </c>
      <c r="B301" s="2" t="inlineStr">
        <is>
          <t>I'M BLACK HIGH WAIST BOTTOM</t>
        </is>
      </c>
      <c r="C301" s="2" t="inlineStr">
        <is>
          <t>273223/BLA</t>
        </is>
      </c>
      <c r="D301" s="2" t="n">
        <v>8000</v>
      </c>
      <c r="E301" s="3" t="n">
        <v>21976.61</v>
      </c>
      <c r="F301" s="4" t="n">
        <v>10185.03125</v>
      </c>
      <c r="G301" s="3">
        <f>IF(OR(E301="",F301=""),"",E301+F301)</f>
        <v/>
      </c>
      <c r="H301" s="3" t="n">
        <v>38272.3530875</v>
      </c>
      <c r="I301" s="3" t="n">
        <v>95680.88271874998</v>
      </c>
      <c r="J301" s="3" t="n">
        <v>109900</v>
      </c>
      <c r="K301" s="3" t="n">
        <v>50794.11764705883</v>
      </c>
      <c r="L301" s="5" t="n">
        <v>0.3668235075275044</v>
      </c>
      <c r="M301" s="3" t="n">
        <v>64647.05882352941</v>
      </c>
      <c r="N301" s="5" t="n">
        <v>0.5025041844858962</v>
      </c>
      <c r="O301" s="3" t="n">
        <v>114034.2</v>
      </c>
      <c r="P301" s="5" t="n">
        <v>0.7179649504271526</v>
      </c>
      <c r="Q301" s="3" t="n">
        <v>79800</v>
      </c>
      <c r="R301" s="5" t="n">
        <v>0.596971914160401</v>
      </c>
      <c r="S301" s="3" t="n">
        <v>78</v>
      </c>
      <c r="T301" s="5" t="n">
        <v>0.8914924384278003</v>
      </c>
      <c r="U301" s="6">
        <f>IF(OR(K301="",E301=""),"",(K301-E301)/K301)</f>
        <v/>
      </c>
      <c r="V301" s="6">
        <f>IF(OR(M301="",E301=""),"",(M301-E301)/M301)</f>
        <v/>
      </c>
      <c r="W301" s="6">
        <f>IF(OR(O301="",E301=""),"",(O301-E301)/O301)</f>
        <v/>
      </c>
      <c r="X301" s="6">
        <f>IF(OR(Q301="",E301=""),"",(Q301-E301)/Q301)</f>
        <v/>
      </c>
      <c r="Y301" s="6">
        <f>IF(OR(S301="",E301=""),"",((S301*3500)-E301)/(S301*3500))</f>
        <v/>
      </c>
      <c r="Z301" s="7" t="n"/>
    </row>
    <row r="302">
      <c r="A302" s="2" t="inlineStr">
        <is>
          <t>LA EMPERATRIZ</t>
        </is>
      </c>
      <c r="B302" s="2" t="inlineStr">
        <is>
          <t>I'M BLACK RUCHED STRAPLESS ONE PIECE</t>
        </is>
      </c>
      <c r="C302" s="2" t="inlineStr">
        <is>
          <t>273373/BLA</t>
        </is>
      </c>
      <c r="D302" s="2" t="n">
        <v>8000</v>
      </c>
      <c r="E302" s="3" t="n">
        <v>42622</v>
      </c>
      <c r="F302" s="4" t="n">
        <v>10185.03125</v>
      </c>
      <c r="G302" s="3">
        <f>IF(OR(E302="",F302=""),"",E302+F302)</f>
        <v/>
      </c>
      <c r="H302" s="3" t="n">
        <v>62840.3671875</v>
      </c>
      <c r="I302" s="3" t="n">
        <v>157100.91796875</v>
      </c>
      <c r="J302" s="3" t="n">
        <v>199900</v>
      </c>
      <c r="K302" s="3" t="n">
        <v>92390.75630252103</v>
      </c>
      <c r="L302" s="5" t="n">
        <v>0.428438153735959</v>
      </c>
      <c r="M302" s="3" t="n">
        <v>117588.2352941176</v>
      </c>
      <c r="N302" s="5" t="n">
        <v>0.5509156922211105</v>
      </c>
      <c r="O302" s="3" t="n">
        <v>197659.28</v>
      </c>
      <c r="P302" s="5" t="n">
        <v>0.732838087591941</v>
      </c>
      <c r="Q302" s="3" t="n">
        <v>138320</v>
      </c>
      <c r="R302" s="5" t="n">
        <v>0.6182256271688837</v>
      </c>
      <c r="S302" s="3" t="n">
        <v>135.2</v>
      </c>
      <c r="T302" s="5" t="n">
        <v>0.8972145919300841</v>
      </c>
      <c r="U302" s="6">
        <f>IF(OR(K302="",E302=""),"",(K302-E302)/K302)</f>
        <v/>
      </c>
      <c r="V302" s="6">
        <f>IF(OR(M302="",E302=""),"",(M302-E302)/M302)</f>
        <v/>
      </c>
      <c r="W302" s="6">
        <f>IF(OR(O302="",E302=""),"",(O302-E302)/O302)</f>
        <v/>
      </c>
      <c r="X302" s="6">
        <f>IF(OR(Q302="",E302=""),"",(Q302-E302)/Q302)</f>
        <v/>
      </c>
      <c r="Y302" s="6">
        <f>IF(OR(S302="",E302=""),"",((S302*3500)-E302)/(S302*3500))</f>
        <v/>
      </c>
      <c r="Z302" s="7" t="n"/>
    </row>
    <row r="303">
      <c r="A303" s="2" t="inlineStr">
        <is>
          <t>LA EMPERATRIZ</t>
        </is>
      </c>
      <c r="B303" s="2" t="inlineStr">
        <is>
          <t>I'M BLACK RING ONE SHOULDER ONE PIECE</t>
        </is>
      </c>
      <c r="C303" s="2" t="inlineStr">
        <is>
          <t>273374/BLA</t>
        </is>
      </c>
      <c r="D303" s="2" t="n">
        <v>8000</v>
      </c>
      <c r="E303" s="3" t="n">
        <v>43072.76198630137</v>
      </c>
      <c r="F303" s="4" t="n">
        <v>10185.03125</v>
      </c>
      <c r="G303" s="3">
        <f>IF(OR(E303="",F303=""),"",E303+F303)</f>
        <v/>
      </c>
      <c r="H303" s="3" t="n">
        <v>63376.77395119862</v>
      </c>
      <c r="I303" s="3" t="n">
        <v>158441.9348779965</v>
      </c>
      <c r="J303" s="3" t="n">
        <v>199900</v>
      </c>
      <c r="K303" s="3" t="n">
        <v>92390.75630252103</v>
      </c>
      <c r="L303" s="5" t="n">
        <v>0.4235592891791476</v>
      </c>
      <c r="M303" s="3" t="n">
        <v>117588.2352941176</v>
      </c>
      <c r="N303" s="5" t="n">
        <v>0.5470822986407587</v>
      </c>
      <c r="O303" s="3" t="n">
        <v>209062.7</v>
      </c>
      <c r="P303" s="5" t="n">
        <v>0.7452544464588787</v>
      </c>
      <c r="Q303" s="3" t="n">
        <v>146300</v>
      </c>
      <c r="R303" s="5" t="n">
        <v>0.6359686039897378</v>
      </c>
      <c r="S303" s="3" t="n">
        <v>143</v>
      </c>
      <c r="T303" s="5" t="n">
        <v>0.9019915472280062</v>
      </c>
      <c r="U303" s="6">
        <f>IF(OR(K303="",E303=""),"",(K303-E303)/K303)</f>
        <v/>
      </c>
      <c r="V303" s="6">
        <f>IF(OR(M303="",E303=""),"",(M303-E303)/M303)</f>
        <v/>
      </c>
      <c r="W303" s="6">
        <f>IF(OR(O303="",E303=""),"",(O303-E303)/O303)</f>
        <v/>
      </c>
      <c r="X303" s="6">
        <f>IF(OR(Q303="",E303=""),"",(Q303-E303)/Q303)</f>
        <v/>
      </c>
      <c r="Y303" s="6">
        <f>IF(OR(S303="",E303=""),"",((S303*3500)-E303)/(S303*3500))</f>
        <v/>
      </c>
      <c r="Z303" s="7" t="n"/>
    </row>
    <row r="304">
      <c r="A304" s="2" t="inlineStr">
        <is>
          <t>LA EMPERATRIZ</t>
        </is>
      </c>
      <c r="B304" s="2" t="inlineStr">
        <is>
          <t>I'M BLACK MACRAME KNIT HALTER TOP</t>
        </is>
      </c>
      <c r="C304" s="2" t="inlineStr">
        <is>
          <t>27CA39/BLA</t>
        </is>
      </c>
      <c r="D304" s="2" t="n">
        <v>8000</v>
      </c>
      <c r="E304" s="3" t="n">
        <v>25774</v>
      </c>
      <c r="F304" s="4" t="n">
        <v>10185.03125</v>
      </c>
      <c r="G304" s="3">
        <f>IF(OR(E304="",F304=""),"",E304+F304)</f>
        <v/>
      </c>
      <c r="H304" s="3" t="n">
        <v>42791.2471875</v>
      </c>
      <c r="I304" s="3" t="n">
        <v>106978.11796875</v>
      </c>
      <c r="J304" s="3" t="n">
        <v>119900</v>
      </c>
      <c r="K304" s="3" t="n">
        <v>55415.96638655462</v>
      </c>
      <c r="L304" s="5" t="n">
        <v>0.3511070257411479</v>
      </c>
      <c r="M304" s="3" t="n">
        <v>70529.41176470587</v>
      </c>
      <c r="N304" s="5" t="n">
        <v>0.4901555202251876</v>
      </c>
      <c r="O304" s="3" t="n">
        <v>121636.48</v>
      </c>
      <c r="P304" s="5" t="n">
        <v>0.7043729705923749</v>
      </c>
      <c r="Q304" s="3" t="n">
        <v>85120</v>
      </c>
      <c r="R304" s="5" t="n">
        <v>0.5775489749765037</v>
      </c>
      <c r="S304" s="3" t="n">
        <v>83.2</v>
      </c>
      <c r="T304" s="5" t="n">
        <v>0.8862631855705971</v>
      </c>
      <c r="U304" s="6">
        <f>IF(OR(K304="",E304=""),"",(K304-E304)/K304)</f>
        <v/>
      </c>
      <c r="V304" s="6">
        <f>IF(OR(M304="",E304=""),"",(M304-E304)/M304)</f>
        <v/>
      </c>
      <c r="W304" s="6">
        <f>IF(OR(O304="",E304=""),"",(O304-E304)/O304)</f>
        <v/>
      </c>
      <c r="X304" s="6">
        <f>IF(OR(Q304="",E304=""),"",(Q304-E304)/Q304)</f>
        <v/>
      </c>
      <c r="Y304" s="6">
        <f>IF(OR(S304="",E304=""),"",((S304*3500)-E304)/(S304*3500))</f>
        <v/>
      </c>
      <c r="Z304" s="7" t="n"/>
    </row>
    <row r="305">
      <c r="A305" s="2" t="inlineStr">
        <is>
          <t>LA EMPERATRIZ</t>
        </is>
      </c>
      <c r="B305" s="2" t="inlineStr">
        <is>
          <t>I'M BLACK MACRAME KNIT LONG SKIRT</t>
        </is>
      </c>
      <c r="C305" s="2" t="inlineStr">
        <is>
          <t>27FA27/BLA</t>
        </is>
      </c>
      <c r="D305" s="2" t="n">
        <v>8000</v>
      </c>
      <c r="E305" s="3" t="n">
        <v>45652</v>
      </c>
      <c r="F305" s="4" t="n">
        <v>10185.03125</v>
      </c>
      <c r="G305" s="3">
        <f>IF(OR(E305="",F305=""),"",E305+F305)</f>
        <v/>
      </c>
      <c r="H305" s="3" t="n">
        <v>66446.0671875</v>
      </c>
      <c r="I305" s="3" t="n">
        <v>166115.16796875</v>
      </c>
      <c r="J305" s="3" t="n">
        <v>159900</v>
      </c>
      <c r="K305" s="3" t="n">
        <v>73903.36134453783</v>
      </c>
      <c r="L305" s="5" t="n">
        <v>0.2444588414634148</v>
      </c>
      <c r="M305" s="3" t="n">
        <v>94058.82352941176</v>
      </c>
      <c r="N305" s="5" t="n">
        <v>0.4063605182926829</v>
      </c>
      <c r="O305" s="3" t="n">
        <v>190057</v>
      </c>
      <c r="P305" s="5" t="n">
        <v>0.7062090254502597</v>
      </c>
      <c r="Q305" s="3" t="n">
        <v>133000</v>
      </c>
      <c r="R305" s="5" t="n">
        <v>0.580172697368421</v>
      </c>
      <c r="S305" s="3" t="n">
        <v>130</v>
      </c>
      <c r="T305" s="5" t="n">
        <v>0.886969572368421</v>
      </c>
      <c r="U305" s="6">
        <f>IF(OR(K305="",E305=""),"",(K305-E305)/K305)</f>
        <v/>
      </c>
      <c r="V305" s="6">
        <f>IF(OR(M305="",E305=""),"",(M305-E305)/M305)</f>
        <v/>
      </c>
      <c r="W305" s="6">
        <f>IF(OR(O305="",E305=""),"",(O305-E305)/O305)</f>
        <v/>
      </c>
      <c r="X305" s="6">
        <f>IF(OR(Q305="",E305=""),"",(Q305-E305)/Q305)</f>
        <v/>
      </c>
      <c r="Y305" s="6">
        <f>IF(OR(S305="",E305=""),"",((S305*3500)-E305)/(S305*3500))</f>
        <v/>
      </c>
      <c r="Z305" s="7" t="n"/>
    </row>
    <row r="306">
      <c r="A306" s="2" t="inlineStr">
        <is>
          <t>LA EMPERATRIZ</t>
        </is>
      </c>
      <c r="B306" s="2" t="inlineStr">
        <is>
          <t>I'M BLACK RUCHED MAXI SKIRT</t>
        </is>
      </c>
      <c r="C306" s="2" t="inlineStr">
        <is>
          <t>27FA30/BLA</t>
        </is>
      </c>
      <c r="D306" s="2" t="n">
        <v>8000</v>
      </c>
      <c r="E306" s="3" t="n">
        <v>30325</v>
      </c>
      <c r="F306" s="4" t="n">
        <v>10185.03125</v>
      </c>
      <c r="G306" s="3">
        <f>IF(OR(E306="",F306=""),"",E306+F306)</f>
        <v/>
      </c>
      <c r="H306" s="3" t="n">
        <v>48206.9371875</v>
      </c>
      <c r="I306" s="3" t="n">
        <v>120517.34296875</v>
      </c>
      <c r="J306" s="3" t="n">
        <v>129900</v>
      </c>
      <c r="K306" s="3" t="n">
        <v>60037.81512605043</v>
      </c>
      <c r="L306" s="5" t="n">
        <v>0.3252580700188958</v>
      </c>
      <c r="M306" s="3" t="n">
        <v>76411.76470588235</v>
      </c>
      <c r="N306" s="5" t="n">
        <v>0.469845626443418</v>
      </c>
      <c r="O306" s="3" t="n">
        <v>144443.32</v>
      </c>
      <c r="P306" s="5" t="n">
        <v>0.7195437542559946</v>
      </c>
      <c r="Q306" s="3" t="n">
        <v>101080</v>
      </c>
      <c r="R306" s="5" t="n">
        <v>0.5992280248318164</v>
      </c>
      <c r="S306" s="3" t="n">
        <v>98.8</v>
      </c>
      <c r="T306" s="5" t="n">
        <v>0.8920998528393351</v>
      </c>
      <c r="U306" s="6">
        <f>IF(OR(K306="",E306=""),"",(K306-E306)/K306)</f>
        <v/>
      </c>
      <c r="V306" s="6">
        <f>IF(OR(M306="",E306=""),"",(M306-E306)/M306)</f>
        <v/>
      </c>
      <c r="W306" s="6">
        <f>IF(OR(O306="",E306=""),"",(O306-E306)/O306)</f>
        <v/>
      </c>
      <c r="X306" s="6">
        <f>IF(OR(Q306="",E306=""),"",(Q306-E306)/Q306)</f>
        <v/>
      </c>
      <c r="Y306" s="6">
        <f>IF(OR(S306="",E306=""),"",((S306*3500)-E306)/(S306*3500))</f>
        <v/>
      </c>
      <c r="Z306" s="7" t="n"/>
    </row>
    <row r="307">
      <c r="A307" s="2" t="inlineStr">
        <is>
          <t>LA EMPERATRIZ</t>
        </is>
      </c>
      <c r="B307" s="2" t="inlineStr">
        <is>
          <t>I'M BLACK CARGO PANTS</t>
        </is>
      </c>
      <c r="C307" s="2" t="inlineStr">
        <is>
          <t>26PA25/BLA</t>
        </is>
      </c>
      <c r="D307" s="2" t="n">
        <v>8000</v>
      </c>
      <c r="E307" s="3" t="n">
        <v>64756.51568253968</v>
      </c>
      <c r="F307" s="4" t="n">
        <v>10185.03125</v>
      </c>
      <c r="G307" s="3">
        <f>IF(OR(E307="",F307=""),"",E307+F307)</f>
        <v/>
      </c>
      <c r="H307" s="3" t="n">
        <v>89180.44084972222</v>
      </c>
      <c r="I307" s="3" t="n">
        <v>222951.1021243055</v>
      </c>
      <c r="J307" s="3" t="n">
        <v>189900</v>
      </c>
      <c r="K307" s="3" t="n">
        <v>87768.90756302522</v>
      </c>
      <c r="L307" s="5" t="n">
        <v>0.1461492570278882</v>
      </c>
      <c r="M307" s="3" t="n">
        <v>111705.8823529412</v>
      </c>
      <c r="N307" s="5" t="n">
        <v>0.3291172733790549</v>
      </c>
      <c r="O307" s="3" t="n">
        <v>212863.84</v>
      </c>
      <c r="P307" s="5" t="n">
        <v>0.6479366954362015</v>
      </c>
      <c r="Q307" s="3" t="n">
        <v>148960</v>
      </c>
      <c r="R307" s="5" t="n">
        <v>0.4969015377783318</v>
      </c>
      <c r="S307" s="3" t="n">
        <v>145.6</v>
      </c>
      <c r="T307" s="5" t="n">
        <v>0.8645504140172432</v>
      </c>
      <c r="U307" s="6">
        <f>IF(OR(K307="",E307=""),"",(K307-E307)/K307)</f>
        <v/>
      </c>
      <c r="V307" s="6">
        <f>IF(OR(M307="",E307=""),"",(M307-E307)/M307)</f>
        <v/>
      </c>
      <c r="W307" s="6">
        <f>IF(OR(O307="",E307=""),"",(O307-E307)/O307)</f>
        <v/>
      </c>
      <c r="X307" s="6">
        <f>IF(OR(Q307="",E307=""),"",(Q307-E307)/Q307)</f>
        <v/>
      </c>
      <c r="Y307" s="6">
        <f>IF(OR(S307="",E307=""),"",((S307*3500)-E307)/(S307*3500))</f>
        <v/>
      </c>
      <c r="Z307" s="7" t="n"/>
    </row>
    <row r="308">
      <c r="A308" s="2" t="inlineStr">
        <is>
          <t>LA EMPERATRIZ</t>
        </is>
      </c>
      <c r="B308" s="2" t="inlineStr">
        <is>
          <t>I'M WHITE CARGO PANTS</t>
        </is>
      </c>
      <c r="C308" s="2" t="inlineStr">
        <is>
          <t>26PA25/WHT</t>
        </is>
      </c>
      <c r="D308" s="2" t="n">
        <v>8000</v>
      </c>
      <c r="E308" s="3" t="n">
        <v>64756.51568253968</v>
      </c>
      <c r="F308" s="4" t="n">
        <v>10185.03125</v>
      </c>
      <c r="G308" s="3">
        <f>IF(OR(E308="",F308=""),"",E308+F308)</f>
        <v/>
      </c>
      <c r="H308" s="3" t="n">
        <v>89180.44084972222</v>
      </c>
      <c r="I308" s="3" t="n">
        <v>222951.1021243055</v>
      </c>
      <c r="J308" s="3" t="n">
        <v>189900</v>
      </c>
      <c r="K308" s="3" t="n">
        <v>87768.90756302522</v>
      </c>
      <c r="L308" s="5" t="n">
        <v>0.1461492570278882</v>
      </c>
      <c r="M308" s="3" t="n">
        <v>111705.8823529412</v>
      </c>
      <c r="N308" s="5" t="n">
        <v>0.3291172733790549</v>
      </c>
      <c r="O308" s="3" t="n">
        <v>212863.84</v>
      </c>
      <c r="P308" s="5" t="n">
        <v>0.6479366954362015</v>
      </c>
      <c r="Q308" s="3" t="n">
        <v>148960</v>
      </c>
      <c r="R308" s="5" t="n">
        <v>0.4969015377783318</v>
      </c>
      <c r="S308" s="3" t="n">
        <v>145.6</v>
      </c>
      <c r="T308" s="5" t="n">
        <v>0.8645504140172432</v>
      </c>
      <c r="U308" s="6">
        <f>IF(OR(K308="",E308=""),"",(K308-E308)/K308)</f>
        <v/>
      </c>
      <c r="V308" s="6">
        <f>IF(OR(M308="",E308=""),"",(M308-E308)/M308)</f>
        <v/>
      </c>
      <c r="W308" s="6">
        <f>IF(OR(O308="",E308=""),"",(O308-E308)/O308)</f>
        <v/>
      </c>
      <c r="X308" s="6">
        <f>IF(OR(Q308="",E308=""),"",(Q308-E308)/Q308)</f>
        <v/>
      </c>
      <c r="Y308" s="6">
        <f>IF(OR(S308="",E308=""),"",((S308*3500)-E308)/(S308*3500))</f>
        <v/>
      </c>
      <c r="Z308" s="7" t="n"/>
    </row>
    <row r="309">
      <c r="A309" s="2" t="inlineStr">
        <is>
          <t>LA EMPERATRIZ</t>
        </is>
      </c>
      <c r="B309" s="2" t="inlineStr">
        <is>
          <t>I'M IVORY MESH DOUBLE STRAP TRIANGLE TOP</t>
        </is>
      </c>
      <c r="C309" s="2" t="inlineStr">
        <is>
          <t>273178/IVRY</t>
        </is>
      </c>
      <c r="D309" s="2" t="n">
        <v>8000</v>
      </c>
      <c r="E309" s="3" t="n">
        <v>31318.24892307692</v>
      </c>
      <c r="F309" s="4" t="n">
        <v>10185.03125</v>
      </c>
      <c r="G309" s="3">
        <f>IF(OR(E309="",F309=""),"",E309+F309)</f>
        <v/>
      </c>
      <c r="H309" s="3" t="n">
        <v>49388.90340596154</v>
      </c>
      <c r="I309" s="3" t="n">
        <v>123472.2585149038</v>
      </c>
      <c r="J309" s="3" t="n">
        <v>129900</v>
      </c>
      <c r="K309" s="3" t="n">
        <v>60037.81512605043</v>
      </c>
      <c r="L309" s="5" t="n">
        <v>0.3087143480164947</v>
      </c>
      <c r="M309" s="3" t="n">
        <v>76411.76470588235</v>
      </c>
      <c r="N309" s="5" t="n">
        <v>0.4568469877272457</v>
      </c>
      <c r="O309" s="3" t="n">
        <v>121636.48</v>
      </c>
      <c r="P309" s="5" t="n">
        <v>0.6587924924078951</v>
      </c>
      <c r="Q309" s="3" t="n">
        <v>85120</v>
      </c>
      <c r="R309" s="5" t="n">
        <v>0.5124144716508819</v>
      </c>
      <c r="S309" s="3" t="n">
        <v>83.2</v>
      </c>
      <c r="T309" s="5" t="n">
        <v>0.868726973136776</v>
      </c>
      <c r="U309" s="6">
        <f>IF(OR(K309="",E309=""),"",(K309-E309)/K309)</f>
        <v/>
      </c>
      <c r="V309" s="6">
        <f>IF(OR(M309="",E309=""),"",(M309-E309)/M309)</f>
        <v/>
      </c>
      <c r="W309" s="6">
        <f>IF(OR(O309="",E309=""),"",(O309-E309)/O309)</f>
        <v/>
      </c>
      <c r="X309" s="6">
        <f>IF(OR(Q309="",E309=""),"",(Q309-E309)/Q309)</f>
        <v/>
      </c>
      <c r="Y309" s="6">
        <f>IF(OR(S309="",E309=""),"",((S309*3500)-E309)/(S309*3500))</f>
        <v/>
      </c>
      <c r="Z309" s="7" t="n"/>
    </row>
    <row r="310">
      <c r="A310" s="2" t="inlineStr">
        <is>
          <t>LA EMPERATRIZ</t>
        </is>
      </c>
      <c r="B310" s="2" t="inlineStr">
        <is>
          <t>I'M IVORY MESH STRAP TIE SIDE BOTTOM</t>
        </is>
      </c>
      <c r="C310" s="2" t="inlineStr">
        <is>
          <t>273243/IVRY</t>
        </is>
      </c>
      <c r="D310" s="2" t="n">
        <v>8000</v>
      </c>
      <c r="E310" s="3" t="n">
        <v>28402.929105</v>
      </c>
      <c r="F310" s="4" t="n">
        <v>10185.03125</v>
      </c>
      <c r="G310" s="3">
        <f>IF(OR(E310="",F310=""),"",E310+F310)</f>
        <v/>
      </c>
      <c r="H310" s="3" t="n">
        <v>45919.67282245</v>
      </c>
      <c r="I310" s="3" t="n">
        <v>114799.182056125</v>
      </c>
      <c r="J310" s="3" t="n">
        <v>119900</v>
      </c>
      <c r="K310" s="3" t="n">
        <v>55415.96638655462</v>
      </c>
      <c r="L310" s="5" t="n">
        <v>0.3036671040647509</v>
      </c>
      <c r="M310" s="3" t="n">
        <v>70529.41176470587</v>
      </c>
      <c r="N310" s="5" t="n">
        <v>0.4528812960508756</v>
      </c>
      <c r="O310" s="3" t="n">
        <v>106431.92</v>
      </c>
      <c r="P310" s="5" t="n">
        <v>0.6374399676807483</v>
      </c>
      <c r="Q310" s="3" t="n">
        <v>74479.99999999999</v>
      </c>
      <c r="R310" s="5" t="n">
        <v>0.4819017138157893</v>
      </c>
      <c r="S310" s="3" t="n">
        <v>72.8</v>
      </c>
      <c r="T310" s="5" t="n">
        <v>0.8605119998734818</v>
      </c>
      <c r="U310" s="6">
        <f>IF(OR(K310="",E310=""),"",(K310-E310)/K310)</f>
        <v/>
      </c>
      <c r="V310" s="6">
        <f>IF(OR(M310="",E310=""),"",(M310-E310)/M310)</f>
        <v/>
      </c>
      <c r="W310" s="6">
        <f>IF(OR(O310="",E310=""),"",(O310-E310)/O310)</f>
        <v/>
      </c>
      <c r="X310" s="6">
        <f>IF(OR(Q310="",E310=""),"",(Q310-E310)/Q310)</f>
        <v/>
      </c>
      <c r="Y310" s="6">
        <f>IF(OR(S310="",E310=""),"",((S310*3500)-E310)/(S310*3500))</f>
        <v/>
      </c>
      <c r="Z310" s="7" t="n"/>
    </row>
    <row r="311">
      <c r="A311" s="2" t="inlineStr">
        <is>
          <t>LA EMPERATRIZ</t>
        </is>
      </c>
      <c r="B311" s="2" t="inlineStr">
        <is>
          <t>I'M IVORY MESH HALTER STRAP ONE PIECE</t>
        </is>
      </c>
      <c r="C311" s="2" t="inlineStr">
        <is>
          <t>273375/IVRY</t>
        </is>
      </c>
      <c r="D311" s="2" t="n">
        <v>8000</v>
      </c>
      <c r="E311" s="3" t="n">
        <v>52580.91</v>
      </c>
      <c r="F311" s="4" t="n">
        <v>10185.03125</v>
      </c>
      <c r="G311" s="3">
        <f>IF(OR(E311="",F311=""),"",E311+F311)</f>
        <v/>
      </c>
      <c r="H311" s="3" t="n">
        <v>74691.4700875</v>
      </c>
      <c r="I311" s="3" t="n">
        <v>186728.67521875</v>
      </c>
      <c r="J311" s="3" t="n">
        <v>199900</v>
      </c>
      <c r="K311" s="3" t="n">
        <v>92390.75630252103</v>
      </c>
      <c r="L311" s="5" t="n">
        <v>0.3206469590477057</v>
      </c>
      <c r="M311" s="3" t="n">
        <v>117588.2352941176</v>
      </c>
      <c r="N311" s="5" t="n">
        <v>0.4662226106803401</v>
      </c>
      <c r="O311" s="3" t="n">
        <v>209062.7</v>
      </c>
      <c r="P311" s="5" t="n">
        <v>0.6997745592590165</v>
      </c>
      <c r="Q311" s="3" t="n">
        <v>146300</v>
      </c>
      <c r="R311" s="5" t="n">
        <v>0.5709778451811346</v>
      </c>
      <c r="S311" s="3" t="n">
        <v>143</v>
      </c>
      <c r="T311" s="5" t="n">
        <v>0.8844940352410746</v>
      </c>
      <c r="U311" s="6">
        <f>IF(OR(K311="",E311=""),"",(K311-E311)/K311)</f>
        <v/>
      </c>
      <c r="V311" s="6">
        <f>IF(OR(M311="",E311=""),"",(M311-E311)/M311)</f>
        <v/>
      </c>
      <c r="W311" s="6">
        <f>IF(OR(O311="",E311=""),"",(O311-E311)/O311)</f>
        <v/>
      </c>
      <c r="X311" s="6">
        <f>IF(OR(Q311="",E311=""),"",(Q311-E311)/Q311)</f>
        <v/>
      </c>
      <c r="Y311" s="6">
        <f>IF(OR(S311="",E311=""),"",((S311*3500)-E311)/(S311*3500))</f>
        <v/>
      </c>
      <c r="Z311" s="7" t="n"/>
    </row>
    <row r="312">
      <c r="A312" s="2" t="inlineStr">
        <is>
          <t>LA EMPERATRIZ</t>
        </is>
      </c>
      <c r="B312" s="2" t="inlineStr">
        <is>
          <t>I'M IVORY MESH KNIT SHIRT</t>
        </is>
      </c>
      <c r="C312" s="2" t="inlineStr">
        <is>
          <t>27CA37/IVRY</t>
        </is>
      </c>
      <c r="D312" s="2" t="n">
        <v>8000</v>
      </c>
      <c r="E312" s="3" t="n">
        <v>39513.2555555556</v>
      </c>
      <c r="F312" s="4" t="n">
        <v>10185.03125</v>
      </c>
      <c r="G312" s="3">
        <f>IF(OR(E312="",F312=""),"",E312+F312)</f>
        <v/>
      </c>
      <c r="H312" s="3" t="n">
        <v>59140.96129861117</v>
      </c>
      <c r="I312" s="3" t="n">
        <v>147852.4032465279</v>
      </c>
      <c r="J312" s="3" t="n">
        <v>149900</v>
      </c>
      <c r="K312" s="3" t="n">
        <v>69281.51260504202</v>
      </c>
      <c r="L312" s="5" t="n">
        <v>0.2826616374721188</v>
      </c>
      <c r="M312" s="3" t="n">
        <v>88176.4705882353</v>
      </c>
      <c r="N312" s="5" t="n">
        <v>0.4363770008709505</v>
      </c>
      <c r="O312" s="3" t="n">
        <v>152045.6</v>
      </c>
      <c r="P312" s="5" t="n">
        <v>0.6731356461117217</v>
      </c>
      <c r="Q312" s="3" t="n">
        <v>106400</v>
      </c>
      <c r="R312" s="5" t="n">
        <v>0.5329108382936504</v>
      </c>
      <c r="S312" s="3" t="n">
        <v>104</v>
      </c>
      <c r="T312" s="5" t="n">
        <v>0.8742452256944444</v>
      </c>
      <c r="U312" s="6">
        <f>IF(OR(K312="",E312=""),"",(K312-E312)/K312)</f>
        <v/>
      </c>
      <c r="V312" s="6">
        <f>IF(OR(M312="",E312=""),"",(M312-E312)/M312)</f>
        <v/>
      </c>
      <c r="W312" s="6">
        <f>IF(OR(O312="",E312=""),"",(O312-E312)/O312)</f>
        <v/>
      </c>
      <c r="X312" s="6">
        <f>IF(OR(Q312="",E312=""),"",(Q312-E312)/Q312)</f>
        <v/>
      </c>
      <c r="Y312" s="6">
        <f>IF(OR(S312="",E312=""),"",((S312*3500)-E312)/(S312*3500))</f>
        <v/>
      </c>
      <c r="Z312" s="7" t="n"/>
    </row>
    <row r="313">
      <c r="A313" s="2" t="inlineStr">
        <is>
          <t>LA EMPERATRIZ</t>
        </is>
      </c>
      <c r="B313" s="2" t="inlineStr">
        <is>
          <t>I'M IVORY MESH KNIT PANTS</t>
        </is>
      </c>
      <c r="C313" s="2" t="inlineStr">
        <is>
          <t>27PA26/IVRY</t>
        </is>
      </c>
      <c r="D313" s="2" t="n">
        <v>8000</v>
      </c>
      <c r="E313" s="3" t="n">
        <v>47192.70193548387</v>
      </c>
      <c r="F313" s="4" t="n">
        <v>10185.03125</v>
      </c>
      <c r="G313" s="3">
        <f>IF(OR(E313="",F313=""),"",E313+F313)</f>
        <v/>
      </c>
      <c r="H313" s="3" t="n">
        <v>68279.5024907258</v>
      </c>
      <c r="I313" s="3" t="n">
        <v>170698.7562268145</v>
      </c>
      <c r="J313" s="3" t="n">
        <v>159900</v>
      </c>
      <c r="K313" s="3" t="n">
        <v>73903.36134453783</v>
      </c>
      <c r="L313" s="5" t="n">
        <v>0.2236113196801888</v>
      </c>
      <c r="M313" s="3" t="n">
        <v>94058.82352941176</v>
      </c>
      <c r="N313" s="5" t="n">
        <v>0.3899803226058625</v>
      </c>
      <c r="O313" s="3" t="n">
        <v>174852.44</v>
      </c>
      <c r="P313" s="5" t="n">
        <v>0.671850543318218</v>
      </c>
      <c r="Q313" s="3" t="n">
        <v>122360</v>
      </c>
      <c r="R313" s="5" t="n">
        <v>0.5310744264017336</v>
      </c>
      <c r="S313" s="3" t="n">
        <v>119.6</v>
      </c>
      <c r="T313" s="5" t="n">
        <v>0.873750807108159</v>
      </c>
      <c r="U313" s="6">
        <f>IF(OR(K313="",E313=""),"",(K313-E313)/K313)</f>
        <v/>
      </c>
      <c r="V313" s="6">
        <f>IF(OR(M313="",E313=""),"",(M313-E313)/M313)</f>
        <v/>
      </c>
      <c r="W313" s="6">
        <f>IF(OR(O313="",E313=""),"",(O313-E313)/O313)</f>
        <v/>
      </c>
      <c r="X313" s="6">
        <f>IF(OR(Q313="",E313=""),"",(Q313-E313)/Q313)</f>
        <v/>
      </c>
      <c r="Y313" s="6">
        <f>IF(OR(S313="",E313=""),"",((S313*3500)-E313)/(S313*3500))</f>
        <v/>
      </c>
      <c r="Z313" s="7" t="n"/>
    </row>
    <row r="314">
      <c r="A314" s="2" t="inlineStr">
        <is>
          <t>LA EMPERATRIZ</t>
        </is>
      </c>
      <c r="B314" s="2" t="inlineStr">
        <is>
          <t>I'M IVORY LARGE RUFFLE MESH PAREO</t>
        </is>
      </c>
      <c r="C314" s="2" t="inlineStr">
        <is>
          <t>27RE30/IVRY</t>
        </is>
      </c>
      <c r="D314" s="2" t="n">
        <v>8000</v>
      </c>
      <c r="E314" s="3" t="n">
        <v>40542.756</v>
      </c>
      <c r="F314" s="4" t="n">
        <v>10185.03125</v>
      </c>
      <c r="G314" s="3">
        <f>IF(OR(E314="",F314=""),"",E314+F314)</f>
        <v/>
      </c>
      <c r="H314" s="3" t="n">
        <v>60366.0668275</v>
      </c>
      <c r="I314" s="3" t="n">
        <v>150915.16706875</v>
      </c>
      <c r="J314" s="3" t="n">
        <v>159900</v>
      </c>
      <c r="K314" s="3" t="n">
        <v>73903.36134453783</v>
      </c>
      <c r="L314" s="5" t="n">
        <v>0.313592963471488</v>
      </c>
      <c r="M314" s="3" t="n">
        <v>94058.82352941176</v>
      </c>
      <c r="N314" s="5" t="n">
        <v>0.4606801855847404</v>
      </c>
      <c r="O314" s="3" t="n">
        <v>136841.04</v>
      </c>
      <c r="P314" s="5" t="n">
        <v>0.629294053523709</v>
      </c>
      <c r="Q314" s="3" t="n">
        <v>95760</v>
      </c>
      <c r="R314" s="5" t="n">
        <v>0.4702612024853801</v>
      </c>
      <c r="S314" s="3" t="n">
        <v>93.60000000000001</v>
      </c>
      <c r="T314" s="5" t="n">
        <v>0.8573780160537562</v>
      </c>
      <c r="U314" s="6">
        <f>IF(OR(K314="",E314=""),"",(K314-E314)/K314)</f>
        <v/>
      </c>
      <c r="V314" s="6">
        <f>IF(OR(M314="",E314=""),"",(M314-E314)/M314)</f>
        <v/>
      </c>
      <c r="W314" s="6">
        <f>IF(OR(O314="",E314=""),"",(O314-E314)/O314)</f>
        <v/>
      </c>
      <c r="X314" s="6">
        <f>IF(OR(Q314="",E314=""),"",(Q314-E314)/Q314)</f>
        <v/>
      </c>
      <c r="Y314" s="6">
        <f>IF(OR(S314="",E314=""),"",((S314*3500)-E314)/(S314*3500))</f>
        <v/>
      </c>
      <c r="Z314" s="7" t="n"/>
    </row>
    <row r="315">
      <c r="A315" s="2" t="inlineStr">
        <is>
          <t>LA EMPERATRIZ</t>
        </is>
      </c>
      <c r="B315" s="2" t="inlineStr">
        <is>
          <t>I'M WHITE LARGE RUFFLE KNIT PAREO</t>
        </is>
      </c>
      <c r="C315" s="2" t="inlineStr">
        <is>
          <t>27RE31/WHT</t>
        </is>
      </c>
      <c r="D315" s="2" t="n">
        <v>8000</v>
      </c>
      <c r="E315" s="3" t="n">
        <v>50842.92</v>
      </c>
      <c r="F315" s="4" t="n">
        <v>10185.03125</v>
      </c>
      <c r="G315" s="3">
        <f>IF(OR(E315="",F315=""),"",E315+F315)</f>
        <v/>
      </c>
      <c r="H315" s="3" t="n">
        <v>72623.26198749999</v>
      </c>
      <c r="I315" s="3" t="n">
        <v>181558.15496875</v>
      </c>
      <c r="J315" s="3" t="n">
        <v>169900</v>
      </c>
      <c r="K315" s="3" t="n">
        <v>78525.21008403362</v>
      </c>
      <c r="L315" s="5" t="n">
        <v>0.222823457782653</v>
      </c>
      <c r="M315" s="3" t="n">
        <v>99941.17647058824</v>
      </c>
      <c r="N315" s="5" t="n">
        <v>0.3893612882577988</v>
      </c>
      <c r="O315" s="3" t="n">
        <v>144443.32</v>
      </c>
      <c r="P315" s="5" t="n">
        <v>0.5774955100035086</v>
      </c>
      <c r="Q315" s="3" t="n">
        <v>101080</v>
      </c>
      <c r="R315" s="5" t="n">
        <v>0.3962410837950138</v>
      </c>
      <c r="S315" s="3" t="n">
        <v>98.8</v>
      </c>
      <c r="T315" s="5" t="n">
        <v>0.8374495225601961</v>
      </c>
      <c r="U315" s="6">
        <f>IF(OR(K315="",E315=""),"",(K315-E315)/K315)</f>
        <v/>
      </c>
      <c r="V315" s="6">
        <f>IF(OR(M315="",E315=""),"",(M315-E315)/M315)</f>
        <v/>
      </c>
      <c r="W315" s="6">
        <f>IF(OR(O315="",E315=""),"",(O315-E315)/O315)</f>
        <v/>
      </c>
      <c r="X315" s="6">
        <f>IF(OR(Q315="",E315=""),"",(Q315-E315)/Q315)</f>
        <v/>
      </c>
      <c r="Y315" s="6">
        <f>IF(OR(S315="",E315=""),"",((S315*3500)-E315)/(S315*3500))</f>
        <v/>
      </c>
      <c r="Z315" s="7" t="n"/>
    </row>
    <row r="316">
      <c r="A316" s="2" t="inlineStr">
        <is>
          <t>LA EMPERATRIZ</t>
        </is>
      </c>
      <c r="B316" s="2" t="inlineStr">
        <is>
          <t>I'M NUDE ESSENTIAL TOP</t>
        </is>
      </c>
      <c r="C316" s="2" t="inlineStr">
        <is>
          <t>275120/NUD</t>
        </is>
      </c>
      <c r="D316" s="2" t="n">
        <v>8000</v>
      </c>
      <c r="E316" s="3" t="n">
        <v>16457</v>
      </c>
      <c r="F316" s="4" t="n">
        <v>10185.03125</v>
      </c>
      <c r="G316" s="3">
        <f>IF(OR(E316="",F316=""),"",E316+F316)</f>
        <v/>
      </c>
      <c r="H316" s="3" t="n">
        <v>31704.0171875</v>
      </c>
      <c r="I316" s="3" t="n">
        <v>79260.04296875</v>
      </c>
      <c r="J316" s="3" t="n">
        <v>59900</v>
      </c>
      <c r="K316" s="3" t="n">
        <v>27684.87394957984</v>
      </c>
      <c r="L316" s="5" t="n">
        <v>0.03766832030657171</v>
      </c>
      <c r="M316" s="3" t="n">
        <v>35235.29411764706</v>
      </c>
      <c r="N316" s="5" t="n">
        <v>0.243882251669449</v>
      </c>
      <c r="O316" s="3" t="n">
        <v>57017.1</v>
      </c>
      <c r="P316" s="5" t="n">
        <v>0.5327361221458123</v>
      </c>
      <c r="Q316" s="3" t="n">
        <v>39900</v>
      </c>
      <c r="R316" s="5" t="n">
        <v>0.3322799185463659</v>
      </c>
      <c r="S316" s="3" t="n">
        <v>39</v>
      </c>
      <c r="T316" s="5" t="n">
        <v>0.8202292088394062</v>
      </c>
      <c r="U316" s="6">
        <f>IF(OR(K316="",E316=""),"",(K316-E316)/K316)</f>
        <v/>
      </c>
      <c r="V316" s="6">
        <f>IF(OR(M316="",E316=""),"",(M316-E316)/M316)</f>
        <v/>
      </c>
      <c r="W316" s="6">
        <f>IF(OR(O316="",E316=""),"",(O316-E316)/O316)</f>
        <v/>
      </c>
      <c r="X316" s="6">
        <f>IF(OR(Q316="",E316=""),"",(Q316-E316)/Q316)</f>
        <v/>
      </c>
      <c r="Y316" s="6">
        <f>IF(OR(S316="",E316=""),"",((S316*3500)-E316)/(S316*3500))</f>
        <v/>
      </c>
      <c r="Z316" s="7" t="n"/>
    </row>
    <row r="317">
      <c r="A317" s="2" t="inlineStr">
        <is>
          <t>LA EMPERATRIZ</t>
        </is>
      </c>
      <c r="B317" s="2" t="inlineStr">
        <is>
          <t>I'M BURGUNDY ESSENTIAL TOP</t>
        </is>
      </c>
      <c r="C317" s="2" t="inlineStr">
        <is>
          <t>275120/BURG</t>
        </is>
      </c>
      <c r="D317" s="2" t="n">
        <v>8000</v>
      </c>
      <c r="E317" s="3" t="n">
        <v>16457</v>
      </c>
      <c r="F317" s="4" t="n">
        <v>10185.03125</v>
      </c>
      <c r="G317" s="3">
        <f>IF(OR(E317="",F317=""),"",E317+F317)</f>
        <v/>
      </c>
      <c r="H317" s="3" t="n">
        <v>31704.0171875</v>
      </c>
      <c r="I317" s="3" t="n">
        <v>79260.04296875</v>
      </c>
      <c r="J317" s="3" t="n">
        <v>59900</v>
      </c>
      <c r="K317" s="3" t="n">
        <v>27684.87394957984</v>
      </c>
      <c r="L317" s="5" t="n">
        <v>0.03766832030657171</v>
      </c>
      <c r="M317" s="3" t="n">
        <v>35235.29411764706</v>
      </c>
      <c r="N317" s="5" t="n">
        <v>0.243882251669449</v>
      </c>
      <c r="O317" s="3" t="n">
        <v>57017.1</v>
      </c>
      <c r="P317" s="5" t="n">
        <v>0.5327361221458123</v>
      </c>
      <c r="Q317" s="3" t="n">
        <v>39900</v>
      </c>
      <c r="R317" s="5" t="n">
        <v>0.3322799185463659</v>
      </c>
      <c r="S317" s="3" t="n">
        <v>39</v>
      </c>
      <c r="T317" s="5" t="n">
        <v>0.8202292088394062</v>
      </c>
      <c r="U317" s="6">
        <f>IF(OR(K317="",E317=""),"",(K317-E317)/K317)</f>
        <v/>
      </c>
      <c r="V317" s="6">
        <f>IF(OR(M317="",E317=""),"",(M317-E317)/M317)</f>
        <v/>
      </c>
      <c r="W317" s="6">
        <f>IF(OR(O317="",E317=""),"",(O317-E317)/O317)</f>
        <v/>
      </c>
      <c r="X317" s="6">
        <f>IF(OR(Q317="",E317=""),"",(Q317-E317)/Q317)</f>
        <v/>
      </c>
      <c r="Y317" s="6">
        <f>IF(OR(S317="",E317=""),"",((S317*3500)-E317)/(S317*3500))</f>
        <v/>
      </c>
      <c r="Z317" s="7" t="n"/>
    </row>
    <row r="318">
      <c r="A318" s="2" t="inlineStr">
        <is>
          <t>LA EMPERATRIZ</t>
        </is>
      </c>
      <c r="B318" s="2" t="inlineStr">
        <is>
          <t>I'M CHOCOLATE ESSENTIAL TOP</t>
        </is>
      </c>
      <c r="C318" s="2" t="inlineStr">
        <is>
          <t>275120/CHOLT</t>
        </is>
      </c>
      <c r="D318" s="2" t="n">
        <v>8000</v>
      </c>
      <c r="E318" s="3" t="n">
        <v>16457</v>
      </c>
      <c r="F318" s="4" t="n">
        <v>10185.03125</v>
      </c>
      <c r="G318" s="3">
        <f>IF(OR(E318="",F318=""),"",E318+F318)</f>
        <v/>
      </c>
      <c r="H318" s="3" t="n">
        <v>31704.0171875</v>
      </c>
      <c r="I318" s="3" t="n">
        <v>79260.04296875</v>
      </c>
      <c r="J318" s="3" t="n">
        <v>59900</v>
      </c>
      <c r="K318" s="3" t="n">
        <v>27684.87394957984</v>
      </c>
      <c r="L318" s="5" t="n">
        <v>0.03766832030657171</v>
      </c>
      <c r="M318" s="3" t="n">
        <v>35235.29411764706</v>
      </c>
      <c r="N318" s="5" t="n">
        <v>0.243882251669449</v>
      </c>
      <c r="O318" s="3" t="n">
        <v>57017.1</v>
      </c>
      <c r="P318" s="5" t="n">
        <v>0.5327361221458123</v>
      </c>
      <c r="Q318" s="3" t="n">
        <v>39900</v>
      </c>
      <c r="R318" s="5" t="n">
        <v>0.3322799185463659</v>
      </c>
      <c r="S318" s="3" t="n">
        <v>39</v>
      </c>
      <c r="T318" s="5" t="n">
        <v>0.8202292088394062</v>
      </c>
      <c r="U318" s="6">
        <f>IF(OR(K318="",E318=""),"",(K318-E318)/K318)</f>
        <v/>
      </c>
      <c r="V318" s="6">
        <f>IF(OR(M318="",E318=""),"",(M318-E318)/M318)</f>
        <v/>
      </c>
      <c r="W318" s="6">
        <f>IF(OR(O318="",E318=""),"",(O318-E318)/O318)</f>
        <v/>
      </c>
      <c r="X318" s="6">
        <f>IF(OR(Q318="",E318=""),"",(Q318-E318)/Q318)</f>
        <v/>
      </c>
      <c r="Y318" s="6">
        <f>IF(OR(S318="",E318=""),"",((S318*3500)-E318)/(S318*3500))</f>
        <v/>
      </c>
      <c r="Z318" s="7" t="n"/>
    </row>
    <row r="319">
      <c r="A319" s="2" t="inlineStr">
        <is>
          <t>LA EMPERATRIZ</t>
        </is>
      </c>
      <c r="B319" s="2" t="inlineStr">
        <is>
          <t>GALAXIA CHEEKY FULL BOTTOM</t>
        </is>
      </c>
      <c r="C319" s="2" t="inlineStr">
        <is>
          <t>273240/GAXA</t>
        </is>
      </c>
      <c r="D319" s="2" t="n">
        <v>8000</v>
      </c>
      <c r="E319" s="3" t="n">
        <v>30111.429105</v>
      </c>
      <c r="F319" s="4" t="n">
        <v>10185.03125</v>
      </c>
      <c r="G319" s="3">
        <f>IF(OR(E319="",F319=""),"",E319+F319)</f>
        <v/>
      </c>
      <c r="H319" s="3" t="n">
        <v>47952.78782245</v>
      </c>
      <c r="I319" s="3" t="n">
        <v>119881.969556125</v>
      </c>
      <c r="J319" s="3" t="n">
        <v>119900</v>
      </c>
      <c r="K319" s="3" t="n">
        <v>55415.96638655462</v>
      </c>
      <c r="L319" s="5" t="n">
        <v>0.2728366392834938</v>
      </c>
      <c r="M319" s="3" t="n">
        <v>70529.41176470587</v>
      </c>
      <c r="N319" s="5" t="n">
        <v>0.4286573594370308</v>
      </c>
      <c r="O319" s="3" t="n">
        <v>110233.06</v>
      </c>
      <c r="P319" s="5" t="n">
        <v>0.6344430576906782</v>
      </c>
      <c r="Q319" s="3" t="n">
        <v>77139.99999999999</v>
      </c>
      <c r="R319" s="5" t="n">
        <v>0.4776191294399791</v>
      </c>
      <c r="S319" s="3" t="n">
        <v>75.40000000000001</v>
      </c>
      <c r="T319" s="5" t="n">
        <v>0.8593589963876868</v>
      </c>
      <c r="U319" s="6">
        <f>IF(OR(K319="",E319=""),"",(K319-E319)/K319)</f>
        <v/>
      </c>
      <c r="V319" s="6">
        <f>IF(OR(M319="",E319=""),"",(M319-E319)/M319)</f>
        <v/>
      </c>
      <c r="W319" s="6">
        <f>IF(OR(O319="",E319=""),"",(O319-E319)/O319)</f>
        <v/>
      </c>
      <c r="X319" s="6">
        <f>IF(OR(Q319="",E319=""),"",(Q319-E319)/Q319)</f>
        <v/>
      </c>
      <c r="Y319" s="6">
        <f>IF(OR(S319="",E319=""),"",((S319*3500)-E319)/(S319*3500))</f>
        <v/>
      </c>
      <c r="Z319" s="7" t="n"/>
    </row>
    <row r="320">
      <c r="A320" s="2" t="inlineStr">
        <is>
          <t>LA EMPERATRIZ</t>
        </is>
      </c>
      <c r="B320" s="2" t="inlineStr">
        <is>
          <t>I'M WHITE RUCHED MAXI SKIRT</t>
        </is>
      </c>
      <c r="C320" s="2" t="inlineStr">
        <is>
          <t>27FA30/WHT</t>
        </is>
      </c>
      <c r="D320" s="2" t="n">
        <v>8000</v>
      </c>
      <c r="E320" s="3" t="n">
        <v>30325</v>
      </c>
      <c r="F320" s="4" t="n">
        <v>10185.03125</v>
      </c>
      <c r="G320" s="3">
        <f>IF(OR(E320="",F320=""),"",E320+F320)</f>
        <v/>
      </c>
      <c r="H320" s="3" t="n">
        <v>48206.9371875</v>
      </c>
      <c r="I320" s="3" t="n">
        <v>120517.34296875</v>
      </c>
      <c r="J320" s="3" t="n">
        <v>129900</v>
      </c>
      <c r="K320" s="3" t="n">
        <v>60037.81512605043</v>
      </c>
      <c r="L320" s="5" t="n">
        <v>0.3252580700188958</v>
      </c>
      <c r="M320" s="3" t="n">
        <v>76411.76470588235</v>
      </c>
      <c r="N320" s="5" t="n">
        <v>0.469845626443418</v>
      </c>
      <c r="O320" s="3" t="n">
        <v>144443.32</v>
      </c>
      <c r="P320" s="5" t="n">
        <v>0.7195437542559946</v>
      </c>
      <c r="Q320" s="3" t="n">
        <v>101080</v>
      </c>
      <c r="R320" s="5" t="n">
        <v>0.5992280248318164</v>
      </c>
      <c r="S320" s="3" t="n">
        <v>98.8</v>
      </c>
      <c r="T320" s="5" t="n">
        <v>0.8920998528393351</v>
      </c>
      <c r="U320" s="6">
        <f>IF(OR(K320="",E320=""),"",(K320-E320)/K320)</f>
        <v/>
      </c>
      <c r="V320" s="6">
        <f>IF(OR(M320="",E320=""),"",(M320-E320)/M320)</f>
        <v/>
      </c>
      <c r="W320" s="6">
        <f>IF(OR(O320="",E320=""),"",(O320-E320)/O320)</f>
        <v/>
      </c>
      <c r="X320" s="6">
        <f>IF(OR(Q320="",E320=""),"",(Q320-E320)/Q320)</f>
        <v/>
      </c>
      <c r="Y320" s="6">
        <f>IF(OR(S320="",E320=""),"",((S320*3500)-E320)/(S320*3500))</f>
        <v/>
      </c>
      <c r="Z320" s="7" t="n"/>
    </row>
    <row r="321">
      <c r="A321" s="2" t="inlineStr">
        <is>
          <t>LA EMPERATRIZ</t>
        </is>
      </c>
      <c r="B321" s="2" t="inlineStr">
        <is>
          <t>PAÑOLETA</t>
        </is>
      </c>
      <c r="C321" s="2" t="n"/>
      <c r="D321" s="2" t="n">
        <v>8000</v>
      </c>
      <c r="E321" s="3" t="n">
        <v>15524</v>
      </c>
      <c r="F321" s="4" t="n"/>
      <c r="G321" s="3">
        <f>IF(OR(E321="",F321=""),"",E321+F321)</f>
        <v/>
      </c>
      <c r="H321" s="3" t="n">
        <v>18473.56</v>
      </c>
      <c r="I321" s="3" t="n">
        <v>46183.9</v>
      </c>
      <c r="J321" s="3" t="n">
        <v>59900</v>
      </c>
      <c r="K321" s="3" t="n">
        <v>27684.87394957984</v>
      </c>
      <c r="L321" s="5" t="n">
        <v>0.4392605858248597</v>
      </c>
      <c r="M321" s="3" t="n">
        <v>35235.29411764706</v>
      </c>
      <c r="N321" s="5" t="n">
        <v>0.5594190317195326</v>
      </c>
      <c r="O321" s="3" t="n">
        <v>53215.95999999999</v>
      </c>
      <c r="P321" s="5" t="n">
        <v>0.7082830038206582</v>
      </c>
      <c r="Q321" s="3" t="n">
        <v>37239.99999999999</v>
      </c>
      <c r="R321" s="5" t="n">
        <v>0.5831364124597207</v>
      </c>
      <c r="S321" s="3" t="n">
        <v>36.4</v>
      </c>
      <c r="T321" s="5" t="n">
        <v>0.8877674956622325</v>
      </c>
      <c r="U321" s="6">
        <f>IF(OR(K321="",E321=""),"",(K321-E321)/K321)</f>
        <v/>
      </c>
      <c r="V321" s="6">
        <f>IF(OR(M321="",E321=""),"",(M321-E321)/M321)</f>
        <v/>
      </c>
      <c r="W321" s="6">
        <f>IF(OR(O321="",E321=""),"",(O321-E321)/O321)</f>
        <v/>
      </c>
      <c r="X321" s="6">
        <f>IF(OR(Q321="",E321=""),"",(Q321-E321)/Q321)</f>
        <v/>
      </c>
      <c r="Y321" s="6">
        <f>IF(OR(S321="",E321=""),"",((S321*3500)-E321)/(S321*3500))</f>
        <v/>
      </c>
      <c r="Z321" s="8" t="inlineStr">
        <is>
          <t>Falta costo indirecto asignado en el archivo original (histórico, ya no aplica); Falta código de referencia (SKU) en el archivo original</t>
        </is>
      </c>
    </row>
    <row r="322">
      <c r="A322" s="2" t="inlineStr">
        <is>
          <t>SECRET GARDEN</t>
        </is>
      </c>
      <c r="B322" s="2" t="inlineStr">
        <is>
          <t>LUCKY CHARM MESH LONG DRESS</t>
        </is>
      </c>
      <c r="C322" s="2" t="inlineStr">
        <is>
          <t>25VE36/LUCH</t>
        </is>
      </c>
      <c r="D322" s="2" t="n">
        <v>5000</v>
      </c>
      <c r="E322" s="3" t="n">
        <v>48425</v>
      </c>
      <c r="F322" s="4" t="n">
        <v>11926</v>
      </c>
      <c r="G322" s="3">
        <f>IF(OR(E322="",F322=""),"",E322+F322)</f>
        <v/>
      </c>
      <c r="H322" s="3" t="n">
        <v>71817.69</v>
      </c>
      <c r="I322" s="3" t="n">
        <v>179544.225</v>
      </c>
      <c r="J322" s="3" t="n">
        <v>169900</v>
      </c>
      <c r="K322" s="3" t="n">
        <v>78525.21008403362</v>
      </c>
      <c r="L322" s="5" t="n">
        <v>0.2314442720316764</v>
      </c>
      <c r="M322" s="3" t="n">
        <v>99941.17647058824</v>
      </c>
      <c r="N322" s="5" t="n">
        <v>0.3961347851677458</v>
      </c>
      <c r="O322" s="3" t="n">
        <v>182454.72</v>
      </c>
      <c r="P322" s="5" t="n">
        <v>0.669227521217319</v>
      </c>
      <c r="Q322" s="3" t="n">
        <v>127680</v>
      </c>
      <c r="R322" s="5" t="n">
        <v>0.5273261278195488</v>
      </c>
      <c r="S322" s="3" t="n">
        <v>124.8</v>
      </c>
      <c r="T322" s="5" t="n">
        <v>0.8727416497975709</v>
      </c>
      <c r="U322" s="6">
        <f>IF(OR(K322="",E322=""),"",(K322-E322)/K322)</f>
        <v/>
      </c>
      <c r="V322" s="6">
        <f>IF(OR(M322="",E322=""),"",(M322-E322)/M322)</f>
        <v/>
      </c>
      <c r="W322" s="6">
        <f>IF(OR(O322="",E322=""),"",(O322-E322)/O322)</f>
        <v/>
      </c>
      <c r="X322" s="6">
        <f>IF(OR(Q322="",E322=""),"",(Q322-E322)/Q322)</f>
        <v/>
      </c>
      <c r="Y322" s="6">
        <f>IF(OR(S322="",E322=""),"",((S322*3500)-E322)/(S322*3500))</f>
        <v/>
      </c>
      <c r="Z322" s="7" t="n"/>
    </row>
    <row r="323">
      <c r="A323" s="2" t="inlineStr">
        <is>
          <t>SECRET GARDEN</t>
        </is>
      </c>
      <c r="B323" s="2" t="inlineStr">
        <is>
          <t>LUCKY CHARM MESH BANDEAU LONG SHIRT</t>
        </is>
      </c>
      <c r="C323" s="2" t="inlineStr">
        <is>
          <t>25CA34/LUCH</t>
        </is>
      </c>
      <c r="D323" s="2" t="n">
        <v>5000</v>
      </c>
      <c r="E323" s="3" t="n">
        <v>38406.38888888889</v>
      </c>
      <c r="F323" s="4" t="n">
        <v>11926</v>
      </c>
      <c r="G323" s="3">
        <f>IF(OR(E323="",F323=""),"",E323+F323)</f>
        <v/>
      </c>
      <c r="H323" s="3" t="n">
        <v>59895.54277777778</v>
      </c>
      <c r="I323" s="3" t="n">
        <v>149738.8569444444</v>
      </c>
      <c r="J323" s="3" t="n">
        <v>139900</v>
      </c>
      <c r="K323" s="3" t="n">
        <v>64659.66386554623</v>
      </c>
      <c r="L323" s="5" t="n">
        <v>0.2215797936476994</v>
      </c>
      <c r="M323" s="3" t="n">
        <v>82294.11764705883</v>
      </c>
      <c r="N323" s="5" t="n">
        <v>0.3883841235803351</v>
      </c>
      <c r="O323" s="3" t="n">
        <v>136841.04</v>
      </c>
      <c r="P323" s="5" t="n">
        <v>0.6321835255791034</v>
      </c>
      <c r="Q323" s="3" t="n">
        <v>95760</v>
      </c>
      <c r="R323" s="5" t="n">
        <v>0.4743902580525388</v>
      </c>
      <c r="S323" s="3" t="n">
        <v>93.60000000000001</v>
      </c>
      <c r="T323" s="5" t="n">
        <v>0.858489684860299</v>
      </c>
      <c r="U323" s="6">
        <f>IF(OR(K323="",E323=""),"",(K323-E323)/K323)</f>
        <v/>
      </c>
      <c r="V323" s="6">
        <f>IF(OR(M323="",E323=""),"",(M323-E323)/M323)</f>
        <v/>
      </c>
      <c r="W323" s="6">
        <f>IF(OR(O323="",E323=""),"",(O323-E323)/O323)</f>
        <v/>
      </c>
      <c r="X323" s="6">
        <f>IF(OR(Q323="",E323=""),"",(Q323-E323)/Q323)</f>
        <v/>
      </c>
      <c r="Y323" s="6">
        <f>IF(OR(S323="",E323=""),"",((S323*3500)-E323)/(S323*3500))</f>
        <v/>
      </c>
      <c r="Z323" s="7" t="n"/>
    </row>
    <row r="324">
      <c r="A324" s="2" t="inlineStr">
        <is>
          <t>SECRET GARDEN</t>
        </is>
      </c>
      <c r="B324" s="2" t="inlineStr">
        <is>
          <t>LUCKY CHARM MESH LONG SHIRT</t>
        </is>
      </c>
      <c r="C324" s="2" t="inlineStr">
        <is>
          <t>25CA32/LUCH</t>
        </is>
      </c>
      <c r="D324" s="2" t="n">
        <v>5000</v>
      </c>
      <c r="E324" s="3" t="n">
        <v>30552</v>
      </c>
      <c r="F324" s="4" t="n">
        <v>11926</v>
      </c>
      <c r="G324" s="3">
        <f>IF(OR(E324="",F324=""),"",E324+F324)</f>
        <v/>
      </c>
      <c r="H324" s="3" t="n">
        <v>50548.82</v>
      </c>
      <c r="I324" s="3" t="n">
        <v>126372.05</v>
      </c>
      <c r="J324" s="3" t="n">
        <v>119900</v>
      </c>
      <c r="K324" s="3" t="n">
        <v>55415.96638655462</v>
      </c>
      <c r="L324" s="5" t="n">
        <v>0.2334700128895292</v>
      </c>
      <c r="M324" s="3" t="n">
        <v>70529.41176470587</v>
      </c>
      <c r="N324" s="5" t="n">
        <v>0.3977264386989157</v>
      </c>
      <c r="O324" s="3" t="n">
        <v>114034.2</v>
      </c>
      <c r="P324" s="5" t="n">
        <v>0.6274977155976014</v>
      </c>
      <c r="Q324" s="3" t="n">
        <v>79800</v>
      </c>
      <c r="R324" s="5" t="n">
        <v>0.4676942355889724</v>
      </c>
      <c r="S324" s="3" t="n">
        <v>78</v>
      </c>
      <c r="T324" s="5" t="n">
        <v>0.8566869095816464</v>
      </c>
      <c r="U324" s="6">
        <f>IF(OR(K324="",E324=""),"",(K324-E324)/K324)</f>
        <v/>
      </c>
      <c r="V324" s="6">
        <f>IF(OR(M324="",E324=""),"",(M324-E324)/M324)</f>
        <v/>
      </c>
      <c r="W324" s="6">
        <f>IF(OR(O324="",E324=""),"",(O324-E324)/O324)</f>
        <v/>
      </c>
      <c r="X324" s="6">
        <f>IF(OR(Q324="",E324=""),"",(Q324-E324)/Q324)</f>
        <v/>
      </c>
      <c r="Y324" s="6">
        <f>IF(OR(S324="",E324=""),"",((S324*3500)-E324)/(S324*3500))</f>
        <v/>
      </c>
      <c r="Z324" s="7" t="n"/>
    </row>
    <row r="325">
      <c r="A325" s="2" t="inlineStr">
        <is>
          <t>SECRET GARDEN</t>
        </is>
      </c>
      <c r="B325" s="2" t="inlineStr">
        <is>
          <t>LUCKY CHARM SLEEP SLEEVELESS SHIRT</t>
        </is>
      </c>
      <c r="C325" s="2" t="inlineStr">
        <is>
          <t>254124/LUCH</t>
        </is>
      </c>
      <c r="D325" s="2" t="n">
        <v>5000</v>
      </c>
      <c r="E325" s="3" t="n">
        <v>18336.66</v>
      </c>
      <c r="F325" s="4" t="n">
        <v>11926</v>
      </c>
      <c r="G325" s="3">
        <f>IF(OR(E325="",F325=""),"",E325+F325)</f>
        <v/>
      </c>
      <c r="H325" s="3" t="n">
        <v>36012.5654</v>
      </c>
      <c r="I325" s="3" t="n">
        <v>90031.4135</v>
      </c>
      <c r="J325" s="3" t="n">
        <v>89950</v>
      </c>
      <c r="K325" s="3" t="n">
        <v>41573.52941176471</v>
      </c>
      <c r="L325" s="5" t="n">
        <v>0.2720690201627168</v>
      </c>
      <c r="M325" s="3" t="n">
        <v>52911.76470588235</v>
      </c>
      <c r="N325" s="5" t="n">
        <v>0.4280542301278488</v>
      </c>
      <c r="O325" s="3" t="n">
        <v>49414.82</v>
      </c>
      <c r="P325" s="5" t="n">
        <v>0.3875792727768714</v>
      </c>
      <c r="Q325" s="3" t="n">
        <v>34580</v>
      </c>
      <c r="R325" s="5" t="n">
        <v>0.1248507807981492</v>
      </c>
      <c r="S325" s="3" t="n">
        <v>33.8</v>
      </c>
      <c r="T325" s="5" t="n">
        <v>0.7643829025225787</v>
      </c>
      <c r="U325" s="6">
        <f>IF(OR(K325="",E325=""),"",(K325-E325)/K325)</f>
        <v/>
      </c>
      <c r="V325" s="6">
        <f>IF(OR(M325="",E325=""),"",(M325-E325)/M325)</f>
        <v/>
      </c>
      <c r="W325" s="6">
        <f>IF(OR(O325="",E325=""),"",(O325-E325)/O325)</f>
        <v/>
      </c>
      <c r="X325" s="6">
        <f>IF(OR(Q325="",E325=""),"",(Q325-E325)/Q325)</f>
        <v/>
      </c>
      <c r="Y325" s="6">
        <f>IF(OR(S325="",E325=""),"",((S325*3500)-E325)/(S325*3500))</f>
        <v/>
      </c>
      <c r="Z325" s="7" t="n"/>
    </row>
    <row r="326">
      <c r="A326" s="2" t="inlineStr">
        <is>
          <t>SECRET GARDEN</t>
        </is>
      </c>
      <c r="B326" s="2" t="inlineStr">
        <is>
          <t>LUCKY CHARM SLEEP SHORT</t>
        </is>
      </c>
      <c r="C326" s="2" t="inlineStr">
        <is>
          <t>254222/LUCH</t>
        </is>
      </c>
      <c r="D326" s="2" t="n">
        <v>5000</v>
      </c>
      <c r="E326" s="3" t="n">
        <v>18737.81</v>
      </c>
      <c r="F326" s="4" t="n">
        <v>11926</v>
      </c>
      <c r="G326" s="3">
        <f>IF(OR(E326="",F326=""),"",E326+F326)</f>
        <v/>
      </c>
      <c r="H326" s="3" t="n">
        <v>36489.9339</v>
      </c>
      <c r="I326" s="3" t="n">
        <v>91224.83474999999</v>
      </c>
      <c r="J326" s="3" t="n">
        <v>89950</v>
      </c>
      <c r="K326" s="3" t="n">
        <v>41573.52941176471</v>
      </c>
      <c r="L326" s="5" t="n">
        <v>0.2624198514326142</v>
      </c>
      <c r="M326" s="3" t="n">
        <v>52911.76470588235</v>
      </c>
      <c r="N326" s="5" t="n">
        <v>0.4204727404113396</v>
      </c>
      <c r="O326" s="3" t="n">
        <v>49414.82</v>
      </c>
      <c r="P326" s="5" t="n">
        <v>0.3794612628357242</v>
      </c>
      <c r="Q326" s="3" t="n">
        <v>34580</v>
      </c>
      <c r="R326" s="5" t="n">
        <v>0.1132501445922498</v>
      </c>
      <c r="S326" s="3" t="n">
        <v>33.8</v>
      </c>
      <c r="T326" s="5" t="n">
        <v>0.7612596543132981</v>
      </c>
      <c r="U326" s="6">
        <f>IF(OR(K326="",E326=""),"",(K326-E326)/K326)</f>
        <v/>
      </c>
      <c r="V326" s="6">
        <f>IF(OR(M326="",E326=""),"",(M326-E326)/M326)</f>
        <v/>
      </c>
      <c r="W326" s="6">
        <f>IF(OR(O326="",E326=""),"",(O326-E326)/O326)</f>
        <v/>
      </c>
      <c r="X326" s="6">
        <f>IF(OR(Q326="",E326=""),"",(Q326-E326)/Q326)</f>
        <v/>
      </c>
      <c r="Y326" s="6">
        <f>IF(OR(S326="",E326=""),"",((S326*3500)-E326)/(S326*3500))</f>
        <v/>
      </c>
      <c r="Z326" s="7" t="n"/>
    </row>
    <row r="327">
      <c r="A327" s="2" t="inlineStr">
        <is>
          <t>SECRET GARDEN</t>
        </is>
      </c>
      <c r="B327" s="2" t="inlineStr">
        <is>
          <t>LUCKY CHARM SLEEP LONG SHIRT</t>
        </is>
      </c>
      <c r="C327" s="2" t="inlineStr">
        <is>
          <t>254121/LUCH</t>
        </is>
      </c>
      <c r="D327" s="2" t="n">
        <v>5000</v>
      </c>
      <c r="E327" s="3" t="n">
        <v>32611.31</v>
      </c>
      <c r="F327" s="4" t="n">
        <v>11926</v>
      </c>
      <c r="G327" s="3">
        <f>IF(OR(E327="",F327=""),"",E327+F327)</f>
        <v/>
      </c>
      <c r="H327" s="3" t="n">
        <v>52999.39889999999</v>
      </c>
      <c r="I327" s="3" t="n">
        <v>132498.49725</v>
      </c>
      <c r="J327" s="3" t="n">
        <v>99950</v>
      </c>
      <c r="K327" s="3" t="n">
        <v>46195.37815126051</v>
      </c>
      <c r="L327" s="5" t="n">
        <v>0.03589251171040089</v>
      </c>
      <c r="M327" s="3" t="n">
        <v>58794.11764705882</v>
      </c>
      <c r="N327" s="5" t="n">
        <v>0.2424869734867433</v>
      </c>
      <c r="O327" s="3" t="n">
        <v>64619.37999999999</v>
      </c>
      <c r="P327" s="5" t="n">
        <v>0.310774724239075</v>
      </c>
      <c r="Q327" s="3" t="n">
        <v>45219.99999999999</v>
      </c>
      <c r="R327" s="5" t="n">
        <v>0.01509708093763811</v>
      </c>
      <c r="S327" s="3" t="n">
        <v>44.2</v>
      </c>
      <c r="T327" s="5" t="n">
        <v>0.7348338294832103</v>
      </c>
      <c r="U327" s="6">
        <f>IF(OR(K327="",E327=""),"",(K327-E327)/K327)</f>
        <v/>
      </c>
      <c r="V327" s="6">
        <f>IF(OR(M327="",E327=""),"",(M327-E327)/M327)</f>
        <v/>
      </c>
      <c r="W327" s="6">
        <f>IF(OR(O327="",E327=""),"",(O327-E327)/O327)</f>
        <v/>
      </c>
      <c r="X327" s="6">
        <f>IF(OR(Q327="",E327=""),"",(Q327-E327)/Q327)</f>
        <v/>
      </c>
      <c r="Y327" s="6">
        <f>IF(OR(S327="",E327=""),"",((S327*3500)-E327)/(S327*3500))</f>
        <v/>
      </c>
      <c r="Z327" s="7" t="n"/>
    </row>
    <row r="328">
      <c r="A328" s="2" t="inlineStr">
        <is>
          <t>SECRET GARDEN</t>
        </is>
      </c>
      <c r="B328" s="2" t="inlineStr">
        <is>
          <t>LUCKY CHARM SLEEP PANTS</t>
        </is>
      </c>
      <c r="C328" s="2" t="inlineStr">
        <is>
          <t>254323/LUCH</t>
        </is>
      </c>
      <c r="D328" s="2" t="n">
        <v>5000</v>
      </c>
      <c r="E328" s="3" t="n">
        <v>28786.53</v>
      </c>
      <c r="F328" s="4" t="n">
        <v>11926</v>
      </c>
      <c r="G328" s="3">
        <f>IF(OR(E328="",F328=""),"",E328+F328)</f>
        <v/>
      </c>
      <c r="H328" s="3" t="n">
        <v>48447.91069999999</v>
      </c>
      <c r="I328" s="3" t="n">
        <v>121119.77675</v>
      </c>
      <c r="J328" s="3" t="n">
        <v>99950</v>
      </c>
      <c r="K328" s="3" t="n">
        <v>46195.37815126051</v>
      </c>
      <c r="L328" s="5" t="n">
        <v>0.1186882404838785</v>
      </c>
      <c r="M328" s="3" t="n">
        <v>58794.11764705882</v>
      </c>
      <c r="N328" s="5" t="n">
        <v>0.3075407603801901</v>
      </c>
      <c r="O328" s="3" t="n">
        <v>57017.1</v>
      </c>
      <c r="P328" s="5" t="n">
        <v>0.2859592999293195</v>
      </c>
      <c r="Q328" s="3" t="n">
        <v>39900</v>
      </c>
      <c r="R328" s="5" t="n">
        <v>-0.02036416040100248</v>
      </c>
      <c r="S328" s="3" t="n">
        <v>39</v>
      </c>
      <c r="T328" s="5" t="n">
        <v>0.7252865721997301</v>
      </c>
      <c r="U328" s="6">
        <f>IF(OR(K328="",E328=""),"",(K328-E328)/K328)</f>
        <v/>
      </c>
      <c r="V328" s="6">
        <f>IF(OR(M328="",E328=""),"",(M328-E328)/M328)</f>
        <v/>
      </c>
      <c r="W328" s="6">
        <f>IF(OR(O328="",E328=""),"",(O328-E328)/O328)</f>
        <v/>
      </c>
      <c r="X328" s="6">
        <f>IF(OR(Q328="",E328=""),"",(Q328-E328)/Q328)</f>
        <v/>
      </c>
      <c r="Y328" s="6">
        <f>IF(OR(S328="",E328=""),"",((S328*3500)-E328)/(S328*3500))</f>
        <v/>
      </c>
      <c r="Z328" s="7" t="n"/>
    </row>
    <row r="329">
      <c r="A329" s="2" t="inlineStr">
        <is>
          <t>SECRET GARDEN</t>
        </is>
      </c>
      <c r="B329" s="2" t="inlineStr">
        <is>
          <t>LUCKY CHARM SLEEP SHORT SLEEVELESS SHIRT</t>
        </is>
      </c>
      <c r="C329" s="2" t="inlineStr">
        <is>
          <t>254125/LUCH</t>
        </is>
      </c>
      <c r="D329" s="2" t="n">
        <v>5000</v>
      </c>
      <c r="E329" s="3" t="n">
        <v>21807.84375</v>
      </c>
      <c r="F329" s="4" t="n">
        <v>11926</v>
      </c>
      <c r="G329" s="3">
        <f>IF(OR(E329="",F329=""),"",E329+F329)</f>
        <v/>
      </c>
      <c r="H329" s="3" t="n">
        <v>40143.2740625</v>
      </c>
      <c r="I329" s="3" t="n">
        <v>100358.18515625</v>
      </c>
      <c r="J329" s="3" t="n">
        <v>94950</v>
      </c>
      <c r="K329" s="3" t="n">
        <v>43884.45378151261</v>
      </c>
      <c r="L329" s="5" t="n">
        <v>0.2313030961271483</v>
      </c>
      <c r="M329" s="3" t="n">
        <v>55852.94117647059</v>
      </c>
      <c r="N329" s="5" t="n">
        <v>0.3960238612427593</v>
      </c>
      <c r="O329" s="3" t="n">
        <v>57017.1</v>
      </c>
      <c r="P329" s="5" t="n">
        <v>0.4083556731226246</v>
      </c>
      <c r="Q329" s="3" t="n">
        <v>39900</v>
      </c>
      <c r="R329" s="5" t="n">
        <v>0.1545402568922306</v>
      </c>
      <c r="S329" s="3" t="n">
        <v>39</v>
      </c>
      <c r="T329" s="5" t="n">
        <v>0.7723762230094466</v>
      </c>
      <c r="U329" s="6">
        <f>IF(OR(K329="",E329=""),"",(K329-E329)/K329)</f>
        <v/>
      </c>
      <c r="V329" s="6">
        <f>IF(OR(M329="",E329=""),"",(M329-E329)/M329)</f>
        <v/>
      </c>
      <c r="W329" s="6">
        <f>IF(OR(O329="",E329=""),"",(O329-E329)/O329)</f>
        <v/>
      </c>
      <c r="X329" s="6">
        <f>IF(OR(Q329="",E329=""),"",(Q329-E329)/Q329)</f>
        <v/>
      </c>
      <c r="Y329" s="6">
        <f>IF(OR(S329="",E329=""),"",((S329*3500)-E329)/(S329*3500))</f>
        <v/>
      </c>
      <c r="Z329" s="7" t="n"/>
    </row>
    <row r="330">
      <c r="A330" s="2" t="inlineStr">
        <is>
          <t>SECRET GARDEN</t>
        </is>
      </c>
      <c r="B330" s="2" t="inlineStr">
        <is>
          <t>LUCKY CHARM TRIANGLE TOP</t>
        </is>
      </c>
      <c r="C330" s="2" t="inlineStr">
        <is>
          <t>263135/LUCH</t>
        </is>
      </c>
      <c r="D330" s="2" t="n">
        <v>5000</v>
      </c>
      <c r="E330" s="3" t="n">
        <v>23661.8475421436</v>
      </c>
      <c r="F330" s="4" t="n">
        <v>11926</v>
      </c>
      <c r="G330" s="3">
        <f>IF(OR(E330="",F330=""),"",E330+F330)</f>
        <v/>
      </c>
      <c r="H330" s="3" t="n">
        <v>42349.53857515088</v>
      </c>
      <c r="I330" s="3" t="n">
        <v>105873.8464378772</v>
      </c>
      <c r="J330" s="3" t="n">
        <v>109900</v>
      </c>
      <c r="K330" s="3" t="n">
        <v>50794.11764705883</v>
      </c>
      <c r="L330" s="5" t="n">
        <v>0.2993706911216663</v>
      </c>
      <c r="M330" s="3" t="n">
        <v>64647.05882352941</v>
      </c>
      <c r="N330" s="5" t="n">
        <v>0.4495055430241662</v>
      </c>
      <c r="O330" s="3" t="n">
        <v>98829.64</v>
      </c>
      <c r="P330" s="5" t="n">
        <v>0.6399071418033739</v>
      </c>
      <c r="Q330" s="3" t="n">
        <v>69160</v>
      </c>
      <c r="R330" s="5" t="n">
        <v>0.4854273056370214</v>
      </c>
      <c r="S330" s="3" t="n">
        <v>67.60000000000001</v>
      </c>
      <c r="T330" s="5" t="n">
        <v>0.8614611976715058</v>
      </c>
      <c r="U330" s="6">
        <f>IF(OR(K330="",E330=""),"",(K330-E330)/K330)</f>
        <v/>
      </c>
      <c r="V330" s="6">
        <f>IF(OR(M330="",E330=""),"",(M330-E330)/M330)</f>
        <v/>
      </c>
      <c r="W330" s="6">
        <f>IF(OR(O330="",E330=""),"",(O330-E330)/O330)</f>
        <v/>
      </c>
      <c r="X330" s="6">
        <f>IF(OR(Q330="",E330=""),"",(Q330-E330)/Q330)</f>
        <v/>
      </c>
      <c r="Y330" s="6">
        <f>IF(OR(S330="",E330=""),"",((S330*3500)-E330)/(S330*3500))</f>
        <v/>
      </c>
      <c r="Z330" s="7" t="n"/>
    </row>
    <row r="331">
      <c r="A331" s="2" t="inlineStr">
        <is>
          <t>SECRET GARDEN</t>
        </is>
      </c>
      <c r="B331" s="2" t="inlineStr">
        <is>
          <t>LUCKY CHARM STRAP TIE SIDE BOTTOM</t>
        </is>
      </c>
      <c r="C331" s="2" t="inlineStr">
        <is>
          <t>263236/LUCH</t>
        </is>
      </c>
      <c r="D331" s="2" t="n">
        <v>5000</v>
      </c>
      <c r="E331" s="3" t="n">
        <v>28313.72014151925</v>
      </c>
      <c r="F331" s="4" t="n">
        <v>11926</v>
      </c>
      <c r="G331" s="3">
        <f>IF(OR(E331="",F331=""),"",E331+F331)</f>
        <v/>
      </c>
      <c r="H331" s="3" t="n">
        <v>47885.26696840791</v>
      </c>
      <c r="I331" s="3" t="n">
        <v>119713.1674210198</v>
      </c>
      <c r="J331" s="3" t="n">
        <v>119900</v>
      </c>
      <c r="K331" s="3" t="n">
        <v>55415.96638655462</v>
      </c>
      <c r="L331" s="5" t="n">
        <v>0.2738605357736309</v>
      </c>
      <c r="M331" s="3" t="n">
        <v>70529.41176470587</v>
      </c>
      <c r="N331" s="5" t="n">
        <v>0.4294618495364242</v>
      </c>
      <c r="O331" s="3" t="n">
        <v>98829.64</v>
      </c>
      <c r="P331" s="5" t="n">
        <v>0.5928375319234265</v>
      </c>
      <c r="Q331" s="3" t="n">
        <v>69160</v>
      </c>
      <c r="R331" s="5" t="n">
        <v>0.4181648331185764</v>
      </c>
      <c r="S331" s="3" t="n">
        <v>67.60000000000001</v>
      </c>
      <c r="T331" s="5" t="n">
        <v>0.8433520704550014</v>
      </c>
      <c r="U331" s="6">
        <f>IF(OR(K331="",E331=""),"",(K331-E331)/K331)</f>
        <v/>
      </c>
      <c r="V331" s="6">
        <f>IF(OR(M331="",E331=""),"",(M331-E331)/M331)</f>
        <v/>
      </c>
      <c r="W331" s="6">
        <f>IF(OR(O331="",E331=""),"",(O331-E331)/O331)</f>
        <v/>
      </c>
      <c r="X331" s="6">
        <f>IF(OR(Q331="",E331=""),"",(Q331-E331)/Q331)</f>
        <v/>
      </c>
      <c r="Y331" s="6">
        <f>IF(OR(S331="",E331=""),"",((S331*3500)-E331)/(S331*3500))</f>
        <v/>
      </c>
      <c r="Z331" s="7" t="n"/>
    </row>
    <row r="332">
      <c r="A332" s="2" t="inlineStr">
        <is>
          <t>SECRET GARDEN</t>
        </is>
      </c>
      <c r="B332" s="2" t="inlineStr">
        <is>
          <t>LUCKY CHARM RUCHED STRAIGHT TOP</t>
        </is>
      </c>
      <c r="C332" s="2" t="inlineStr">
        <is>
          <t>263175/LUCH</t>
        </is>
      </c>
      <c r="D332" s="2" t="n">
        <v>5000</v>
      </c>
      <c r="E332" s="3" t="n">
        <v>32066.0254</v>
      </c>
      <c r="F332" s="4" t="n">
        <v>11926</v>
      </c>
      <c r="G332" s="3">
        <f>IF(OR(E332="",F332=""),"",E332+F332)</f>
        <v/>
      </c>
      <c r="H332" s="3" t="n">
        <v>52350.510226</v>
      </c>
      <c r="I332" s="3" t="n">
        <v>130876.275565</v>
      </c>
      <c r="J332" s="3" t="n">
        <v>129900</v>
      </c>
      <c r="K332" s="3" t="n">
        <v>60037.81512605043</v>
      </c>
      <c r="L332" s="5" t="n">
        <v>0.2672613867170552</v>
      </c>
      <c r="M332" s="3" t="n">
        <v>76411.76470588235</v>
      </c>
      <c r="N332" s="5" t="n">
        <v>0.4242768038491147</v>
      </c>
      <c r="O332" s="3" t="n">
        <v>106431.92</v>
      </c>
      <c r="P332" s="5" t="n">
        <v>0.5866651151271159</v>
      </c>
      <c r="Q332" s="3" t="n">
        <v>74479.99999999999</v>
      </c>
      <c r="R332" s="5" t="n">
        <v>0.4093444495166487</v>
      </c>
      <c r="S332" s="3" t="n">
        <v>72.8</v>
      </c>
      <c r="T332" s="5" t="n">
        <v>0.840977351792944</v>
      </c>
      <c r="U332" s="6">
        <f>IF(OR(K332="",E332=""),"",(K332-E332)/K332)</f>
        <v/>
      </c>
      <c r="V332" s="6">
        <f>IF(OR(M332="",E332=""),"",(M332-E332)/M332)</f>
        <v/>
      </c>
      <c r="W332" s="6">
        <f>IF(OR(O332="",E332=""),"",(O332-E332)/O332)</f>
        <v/>
      </c>
      <c r="X332" s="6">
        <f>IF(OR(Q332="",E332=""),"",(Q332-E332)/Q332)</f>
        <v/>
      </c>
      <c r="Y332" s="6">
        <f>IF(OR(S332="",E332=""),"",((S332*3500)-E332)/(S332*3500))</f>
        <v/>
      </c>
      <c r="Z332" s="7" t="n"/>
    </row>
    <row r="333">
      <c r="A333" s="2" t="inlineStr">
        <is>
          <t>SECRET GARDEN</t>
        </is>
      </c>
      <c r="B333" s="2" t="inlineStr">
        <is>
          <t>LUCKY CHARM HIGH WAIST BOTTOM</t>
        </is>
      </c>
      <c r="C333" s="2" t="inlineStr">
        <is>
          <t>263223/LUCH</t>
        </is>
      </c>
      <c r="D333" s="2" t="n">
        <v>5000</v>
      </c>
      <c r="E333" s="3" t="n">
        <v>24481.53230769231</v>
      </c>
      <c r="F333" s="4" t="n">
        <v>11926</v>
      </c>
      <c r="G333" s="3">
        <f>IF(OR(E333="",F333=""),"",E333+F333)</f>
        <v/>
      </c>
      <c r="H333" s="3" t="n">
        <v>43324.96344615384</v>
      </c>
      <c r="I333" s="3" t="n">
        <v>108312.4086153846</v>
      </c>
      <c r="J333" s="3" t="n">
        <v>109900</v>
      </c>
      <c r="K333" s="3" t="n">
        <v>50794.11764705883</v>
      </c>
      <c r="L333" s="5" t="n">
        <v>0.2832332956215759</v>
      </c>
      <c r="M333" s="3" t="n">
        <v>64647.05882352941</v>
      </c>
      <c r="N333" s="5" t="n">
        <v>0.4368261608455238</v>
      </c>
      <c r="O333" s="3" t="n">
        <v>98829.64</v>
      </c>
      <c r="P333" s="5" t="n">
        <v>0.631613225468672</v>
      </c>
      <c r="Q333" s="3" t="n">
        <v>69160</v>
      </c>
      <c r="R333" s="5" t="n">
        <v>0.4735752991947324</v>
      </c>
      <c r="S333" s="3" t="n">
        <v>67.60000000000001</v>
      </c>
      <c r="T333" s="5" t="n">
        <v>0.8582702728601203</v>
      </c>
      <c r="U333" s="6">
        <f>IF(OR(K333="",E333=""),"",(K333-E333)/K333)</f>
        <v/>
      </c>
      <c r="V333" s="6">
        <f>IF(OR(M333="",E333=""),"",(M333-E333)/M333)</f>
        <v/>
      </c>
      <c r="W333" s="6">
        <f>IF(OR(O333="",E333=""),"",(O333-E333)/O333)</f>
        <v/>
      </c>
      <c r="X333" s="6">
        <f>IF(OR(Q333="",E333=""),"",(Q333-E333)/Q333)</f>
        <v/>
      </c>
      <c r="Y333" s="6">
        <f>IF(OR(S333="",E333=""),"",((S333*3500)-E333)/(S333*3500))</f>
        <v/>
      </c>
      <c r="Z333" s="7" t="n"/>
    </row>
    <row r="334">
      <c r="A334" s="2" t="inlineStr">
        <is>
          <t>SECRET GARDEN</t>
        </is>
      </c>
      <c r="B334" s="2" t="inlineStr">
        <is>
          <t>LUCKY CHARM ONE SHOULDER ONE PIECE</t>
        </is>
      </c>
      <c r="C334" s="2" t="inlineStr">
        <is>
          <t>263326/LUCH</t>
        </is>
      </c>
      <c r="D334" s="2" t="n">
        <v>5000</v>
      </c>
      <c r="E334" s="3" t="n">
        <v>50818.26518928901</v>
      </c>
      <c r="F334" s="4" t="n">
        <v>11926</v>
      </c>
      <c r="G334" s="3">
        <f>IF(OR(E334="",F334=""),"",E334+F334)</f>
        <v/>
      </c>
      <c r="H334" s="3" t="n">
        <v>74665.67557525392</v>
      </c>
      <c r="I334" s="3" t="n">
        <v>186664.1889381348</v>
      </c>
      <c r="J334" s="3" t="n">
        <v>199900</v>
      </c>
      <c r="K334" s="3" t="n">
        <v>92390.75630252103</v>
      </c>
      <c r="L334" s="5" t="n">
        <v>0.3208815719200154</v>
      </c>
      <c r="M334" s="3" t="n">
        <v>117588.2352941176</v>
      </c>
      <c r="N334" s="5" t="n">
        <v>0.4664069493657262</v>
      </c>
      <c r="O334" s="3" t="n">
        <v>197659.28</v>
      </c>
      <c r="P334" s="5" t="n">
        <v>0.6825635245191168</v>
      </c>
      <c r="Q334" s="3" t="n">
        <v>138320</v>
      </c>
      <c r="R334" s="5" t="n">
        <v>0.546383276537818</v>
      </c>
      <c r="S334" s="3" t="n">
        <v>135.2</v>
      </c>
      <c r="T334" s="5" t="n">
        <v>0.8778724206063356</v>
      </c>
      <c r="U334" s="6">
        <f>IF(OR(K334="",E334=""),"",(K334-E334)/K334)</f>
        <v/>
      </c>
      <c r="V334" s="6">
        <f>IF(OR(M334="",E334=""),"",(M334-E334)/M334)</f>
        <v/>
      </c>
      <c r="W334" s="6">
        <f>IF(OR(O334="",E334=""),"",(O334-E334)/O334)</f>
        <v/>
      </c>
      <c r="X334" s="6">
        <f>IF(OR(Q334="",E334=""),"",(Q334-E334)/Q334)</f>
        <v/>
      </c>
      <c r="Y334" s="6">
        <f>IF(OR(S334="",E334=""),"",((S334*3500)-E334)/(S334*3500))</f>
        <v/>
      </c>
      <c r="Z334" s="7" t="n"/>
    </row>
    <row r="335">
      <c r="A335" s="2" t="inlineStr">
        <is>
          <t>SECRET GARDEN</t>
        </is>
      </c>
      <c r="B335" s="2" t="inlineStr">
        <is>
          <t>LUCKY CHARM STRAIGHT ONE PIECE</t>
        </is>
      </c>
      <c r="C335" s="2" t="inlineStr">
        <is>
          <t>263370/LUCH</t>
        </is>
      </c>
      <c r="D335" s="2" t="n">
        <v>5000</v>
      </c>
      <c r="E335" s="3" t="n">
        <v>42873.6112</v>
      </c>
      <c r="F335" s="4" t="n">
        <v>11926</v>
      </c>
      <c r="G335" s="3">
        <f>IF(OR(E335="",F335=""),"",E335+F335)</f>
        <v/>
      </c>
      <c r="H335" s="3" t="n">
        <v>65211.537328</v>
      </c>
      <c r="I335" s="3" t="n">
        <v>163028.84332</v>
      </c>
      <c r="J335" s="3" t="n">
        <v>189900</v>
      </c>
      <c r="K335" s="3" t="n">
        <v>87768.90756302522</v>
      </c>
      <c r="L335" s="5" t="n">
        <v>0.3756375381492653</v>
      </c>
      <c r="M335" s="3" t="n">
        <v>111705.8823529412</v>
      </c>
      <c r="N335" s="5" t="n">
        <v>0.509429494260137</v>
      </c>
      <c r="O335" s="3" t="n">
        <v>190057</v>
      </c>
      <c r="P335" s="5" t="n">
        <v>0.7116674934361797</v>
      </c>
      <c r="Q335" s="3" t="n">
        <v>133000</v>
      </c>
      <c r="R335" s="5" t="n">
        <v>0.5879728481203007</v>
      </c>
      <c r="S335" s="3" t="n">
        <v>130</v>
      </c>
      <c r="T335" s="5" t="n">
        <v>0.8890696129554656</v>
      </c>
      <c r="U335" s="6">
        <f>IF(OR(K335="",E335=""),"",(K335-E335)/K335)</f>
        <v/>
      </c>
      <c r="V335" s="6">
        <f>IF(OR(M335="",E335=""),"",(M335-E335)/M335)</f>
        <v/>
      </c>
      <c r="W335" s="6">
        <f>IF(OR(O335="",E335=""),"",(O335-E335)/O335)</f>
        <v/>
      </c>
      <c r="X335" s="6">
        <f>IF(OR(Q335="",E335=""),"",(Q335-E335)/Q335)</f>
        <v/>
      </c>
      <c r="Y335" s="6">
        <f>IF(OR(S335="",E335=""),"",((S335*3500)-E335)/(S335*3500))</f>
        <v/>
      </c>
      <c r="Z335" s="7" t="n"/>
    </row>
    <row r="336">
      <c r="A336" s="2" t="inlineStr">
        <is>
          <t>SECRET GARDEN</t>
        </is>
      </c>
      <c r="B336" s="2" t="inlineStr">
        <is>
          <t>LUCKY CHARM PAREO</t>
        </is>
      </c>
      <c r="C336" s="2" t="inlineStr">
        <is>
          <t>26RE22/LUCH</t>
        </is>
      </c>
      <c r="D336" s="2" t="n">
        <v>5000</v>
      </c>
      <c r="E336" s="3" t="n">
        <v>31861.02857142857</v>
      </c>
      <c r="F336" s="4" t="n">
        <v>11926</v>
      </c>
      <c r="G336" s="3">
        <f>IF(OR(E336="",F336=""),"",E336+F336)</f>
        <v/>
      </c>
      <c r="H336" s="3" t="n">
        <v>52106.564</v>
      </c>
      <c r="I336" s="3" t="n">
        <v>130266.41</v>
      </c>
      <c r="J336" s="3" t="n">
        <v>139900</v>
      </c>
      <c r="K336" s="3" t="n">
        <v>64659.66386554623</v>
      </c>
      <c r="L336" s="5" t="n">
        <v>0.322807667814673</v>
      </c>
      <c r="M336" s="3" t="n">
        <v>82294.11764705883</v>
      </c>
      <c r="N336" s="5" t="n">
        <v>0.4679203104258144</v>
      </c>
      <c r="O336" s="3" t="n">
        <v>136841.04</v>
      </c>
      <c r="P336" s="5" t="n">
        <v>0.6800153771746504</v>
      </c>
      <c r="Q336" s="3" t="n">
        <v>95760</v>
      </c>
      <c r="R336" s="5" t="n">
        <v>0.5427419739825755</v>
      </c>
      <c r="S336" s="3" t="n">
        <v>93.60000000000001</v>
      </c>
      <c r="T336" s="5" t="n">
        <v>0.8768920699183858</v>
      </c>
      <c r="U336" s="6">
        <f>IF(OR(K336="",E336=""),"",(K336-E336)/K336)</f>
        <v/>
      </c>
      <c r="V336" s="6">
        <f>IF(OR(M336="",E336=""),"",(M336-E336)/M336)</f>
        <v/>
      </c>
      <c r="W336" s="6">
        <f>IF(OR(O336="",E336=""),"",(O336-E336)/O336)</f>
        <v/>
      </c>
      <c r="X336" s="6">
        <f>IF(OR(Q336="",E336=""),"",(Q336-E336)/Q336)</f>
        <v/>
      </c>
      <c r="Y336" s="6">
        <f>IF(OR(S336="",E336=""),"",((S336*3500)-E336)/(S336*3500))</f>
        <v/>
      </c>
      <c r="Z336" s="7" t="n"/>
    </row>
    <row r="337">
      <c r="A337" s="2" t="inlineStr">
        <is>
          <t>SECRET GARDEN</t>
        </is>
      </c>
      <c r="B337" s="2" t="inlineStr">
        <is>
          <t>TOALLA LUCKY CHARM</t>
        </is>
      </c>
      <c r="C337" s="2" t="inlineStr">
        <is>
          <t>26TO27/LUCH</t>
        </is>
      </c>
      <c r="D337" s="2" t="n">
        <v>5000</v>
      </c>
      <c r="E337" s="3" t="n">
        <v>35704.62</v>
      </c>
      <c r="F337" s="4" t="n">
        <v>11926</v>
      </c>
      <c r="G337" s="3">
        <f>IF(OR(E337="",F337=""),"",E337+F337)</f>
        <v/>
      </c>
      <c r="H337" s="3" t="n">
        <v>56680.4378</v>
      </c>
      <c r="I337" s="3" t="n">
        <v>141701.0945</v>
      </c>
      <c r="J337" s="3" t="n">
        <v>89900</v>
      </c>
      <c r="K337" s="3" t="n">
        <v>41550.42016806723</v>
      </c>
      <c r="L337" s="5" t="n">
        <v>-0.1463330528870461</v>
      </c>
      <c r="M337" s="3" t="n">
        <v>52882.35294117647</v>
      </c>
      <c r="N337" s="5" t="n">
        <v>0.09930974416017789</v>
      </c>
      <c r="O337" s="3" t="n">
        <v>144443.32</v>
      </c>
      <c r="P337" s="5" t="n">
        <v>0.6702469868457746</v>
      </c>
      <c r="Q337" s="3" t="n">
        <v>101080</v>
      </c>
      <c r="R337" s="5" t="n">
        <v>0.5287829442026117</v>
      </c>
      <c r="S337" s="3" t="n">
        <v>98.8</v>
      </c>
      <c r="T337" s="5" t="n">
        <v>0.8731338695930109</v>
      </c>
      <c r="U337" s="6">
        <f>IF(OR(K337="",E337=""),"",(K337-E337)/K337)</f>
        <v/>
      </c>
      <c r="V337" s="6">
        <f>IF(OR(M337="",E337=""),"",(M337-E337)/M337)</f>
        <v/>
      </c>
      <c r="W337" s="6">
        <f>IF(OR(O337="",E337=""),"",(O337-E337)/O337)</f>
        <v/>
      </c>
      <c r="X337" s="6">
        <f>IF(OR(Q337="",E337=""),"",(Q337-E337)/Q337)</f>
        <v/>
      </c>
      <c r="Y337" s="6">
        <f>IF(OR(S337="",E337=""),"",((S337*3500)-E337)/(S337*3500))</f>
        <v/>
      </c>
      <c r="Z337" s="7" t="n"/>
    </row>
    <row r="338">
      <c r="A338" s="2" t="inlineStr">
        <is>
          <t>SECRET GARDEN</t>
        </is>
      </c>
      <c r="B338" s="2" t="inlineStr">
        <is>
          <t>GARDEN TRIANGLE TOP</t>
        </is>
      </c>
      <c r="C338" s="2" t="inlineStr">
        <is>
          <t>263135/GARD</t>
        </is>
      </c>
      <c r="D338" s="2" t="n">
        <v>5000</v>
      </c>
      <c r="E338" s="3" t="n">
        <v>23661.8475421436</v>
      </c>
      <c r="F338" s="4" t="n">
        <v>11926</v>
      </c>
      <c r="G338" s="3">
        <f>IF(OR(E338="",F338=""),"",E338+F338)</f>
        <v/>
      </c>
      <c r="H338" s="3" t="n">
        <v>42349.53857515088</v>
      </c>
      <c r="I338" s="3" t="n">
        <v>105873.8464378772</v>
      </c>
      <c r="J338" s="3" t="n">
        <v>109900</v>
      </c>
      <c r="K338" s="3" t="n">
        <v>50794.11764705883</v>
      </c>
      <c r="L338" s="5" t="n">
        <v>0.2993706911216663</v>
      </c>
      <c r="M338" s="3" t="n">
        <v>64647.05882352941</v>
      </c>
      <c r="N338" s="5" t="n">
        <v>0.4495055430241662</v>
      </c>
      <c r="O338" s="3" t="n">
        <v>98829.64</v>
      </c>
      <c r="P338" s="5" t="n">
        <v>0.6399071418033739</v>
      </c>
      <c r="Q338" s="3" t="n">
        <v>69160</v>
      </c>
      <c r="R338" s="5" t="n">
        <v>0.4854273056370214</v>
      </c>
      <c r="S338" s="3" t="n">
        <v>67.60000000000001</v>
      </c>
      <c r="T338" s="5" t="n">
        <v>0.8614611976715058</v>
      </c>
      <c r="U338" s="6">
        <f>IF(OR(K338="",E338=""),"",(K338-E338)/K338)</f>
        <v/>
      </c>
      <c r="V338" s="6">
        <f>IF(OR(M338="",E338=""),"",(M338-E338)/M338)</f>
        <v/>
      </c>
      <c r="W338" s="6">
        <f>IF(OR(O338="",E338=""),"",(O338-E338)/O338)</f>
        <v/>
      </c>
      <c r="X338" s="6">
        <f>IF(OR(Q338="",E338=""),"",(Q338-E338)/Q338)</f>
        <v/>
      </c>
      <c r="Y338" s="6">
        <f>IF(OR(S338="",E338=""),"",((S338*3500)-E338)/(S338*3500))</f>
        <v/>
      </c>
      <c r="Z338" s="7" t="n"/>
    </row>
    <row r="339">
      <c r="A339" s="2" t="inlineStr">
        <is>
          <t>SECRET GARDEN</t>
        </is>
      </c>
      <c r="B339" s="2" t="inlineStr">
        <is>
          <t>GARDEN STRAP TIE SIDE BOTTOM</t>
        </is>
      </c>
      <c r="C339" s="2" t="inlineStr">
        <is>
          <t>263236/GARD</t>
        </is>
      </c>
      <c r="D339" s="2" t="n">
        <v>5000</v>
      </c>
      <c r="E339" s="3" t="n">
        <v>28313.72014151925</v>
      </c>
      <c r="F339" s="4" t="n">
        <v>11926</v>
      </c>
      <c r="G339" s="3">
        <f>IF(OR(E339="",F339=""),"",E339+F339)</f>
        <v/>
      </c>
      <c r="H339" s="3" t="n">
        <v>47885.26696840791</v>
      </c>
      <c r="I339" s="3" t="n">
        <v>119713.1674210198</v>
      </c>
      <c r="J339" s="3" t="n">
        <v>119900</v>
      </c>
      <c r="K339" s="3" t="n">
        <v>55415.96638655462</v>
      </c>
      <c r="L339" s="5" t="n">
        <v>0.2738605357736309</v>
      </c>
      <c r="M339" s="3" t="n">
        <v>70529.41176470587</v>
      </c>
      <c r="N339" s="5" t="n">
        <v>0.4294618495364242</v>
      </c>
      <c r="O339" s="3" t="n">
        <v>98829.64</v>
      </c>
      <c r="P339" s="5" t="n">
        <v>0.5928375319234265</v>
      </c>
      <c r="Q339" s="3" t="n">
        <v>69160</v>
      </c>
      <c r="R339" s="5" t="n">
        <v>0.4181648331185764</v>
      </c>
      <c r="S339" s="3" t="n">
        <v>67.60000000000001</v>
      </c>
      <c r="T339" s="5" t="n">
        <v>0.8433520704550014</v>
      </c>
      <c r="U339" s="6">
        <f>IF(OR(K339="",E339=""),"",(K339-E339)/K339)</f>
        <v/>
      </c>
      <c r="V339" s="6">
        <f>IF(OR(M339="",E339=""),"",(M339-E339)/M339)</f>
        <v/>
      </c>
      <c r="W339" s="6">
        <f>IF(OR(O339="",E339=""),"",(O339-E339)/O339)</f>
        <v/>
      </c>
      <c r="X339" s="6">
        <f>IF(OR(Q339="",E339=""),"",(Q339-E339)/Q339)</f>
        <v/>
      </c>
      <c r="Y339" s="6">
        <f>IF(OR(S339="",E339=""),"",((S339*3500)-E339)/(S339*3500))</f>
        <v/>
      </c>
      <c r="Z339" s="7" t="n"/>
    </row>
    <row r="340">
      <c r="A340" s="2" t="inlineStr">
        <is>
          <t>SECRET GARDEN</t>
        </is>
      </c>
      <c r="B340" s="2" t="inlineStr">
        <is>
          <t>GARDEN UNDERWIRE BRALETTE TOP</t>
        </is>
      </c>
      <c r="C340" s="2" t="inlineStr">
        <is>
          <t>263149/GARD</t>
        </is>
      </c>
      <c r="D340" s="2" t="n">
        <v>5000</v>
      </c>
      <c r="E340" s="3" t="n">
        <v>36308.72871428572</v>
      </c>
      <c r="F340" s="4" t="n">
        <v>11926</v>
      </c>
      <c r="G340" s="3">
        <f>IF(OR(E340="",F340=""),"",E340+F340)</f>
        <v/>
      </c>
      <c r="H340" s="3" t="n">
        <v>57399.32717</v>
      </c>
      <c r="I340" s="3" t="n">
        <v>143498.317925</v>
      </c>
      <c r="J340" s="3" t="n">
        <v>139900</v>
      </c>
      <c r="K340" s="3" t="n">
        <v>64659.66386554623</v>
      </c>
      <c r="L340" s="5" t="n">
        <v>0.2540213507050492</v>
      </c>
      <c r="M340" s="3" t="n">
        <v>82294.11764705883</v>
      </c>
      <c r="N340" s="5" t="n">
        <v>0.41387391841111</v>
      </c>
      <c r="O340" s="3" t="n">
        <v>121636.48</v>
      </c>
      <c r="P340" s="5" t="n">
        <v>0.6034517875370472</v>
      </c>
      <c r="Q340" s="3" t="n">
        <v>85120</v>
      </c>
      <c r="R340" s="5" t="n">
        <v>0.4333326043904404</v>
      </c>
      <c r="S340" s="3" t="n">
        <v>83.2</v>
      </c>
      <c r="T340" s="5" t="n">
        <v>0.8474357011820417</v>
      </c>
      <c r="U340" s="6">
        <f>IF(OR(K340="",E340=""),"",(K340-E340)/K340)</f>
        <v/>
      </c>
      <c r="V340" s="6">
        <f>IF(OR(M340="",E340=""),"",(M340-E340)/M340)</f>
        <v/>
      </c>
      <c r="W340" s="6">
        <f>IF(OR(O340="",E340=""),"",(O340-E340)/O340)</f>
        <v/>
      </c>
      <c r="X340" s="6">
        <f>IF(OR(Q340="",E340=""),"",(Q340-E340)/Q340)</f>
        <v/>
      </c>
      <c r="Y340" s="6">
        <f>IF(OR(S340="",E340=""),"",((S340*3500)-E340)/(S340*3500))</f>
        <v/>
      </c>
      <c r="Z340" s="7" t="n"/>
    </row>
    <row r="341">
      <c r="A341" s="2" t="inlineStr">
        <is>
          <t>SECRET GARDEN</t>
        </is>
      </c>
      <c r="B341" s="2" t="inlineStr">
        <is>
          <t>GARDEN HIGH WAIST BOTTOM</t>
        </is>
      </c>
      <c r="C341" s="2" t="inlineStr">
        <is>
          <t>263223/GARD</t>
        </is>
      </c>
      <c r="D341" s="2" t="n">
        <v>5000</v>
      </c>
      <c r="E341" s="3" t="n">
        <v>24481.53230769231</v>
      </c>
      <c r="F341" s="4" t="n">
        <v>11926</v>
      </c>
      <c r="G341" s="3">
        <f>IF(OR(E341="",F341=""),"",E341+F341)</f>
        <v/>
      </c>
      <c r="H341" s="3" t="n">
        <v>43324.96344615384</v>
      </c>
      <c r="I341" s="3" t="n">
        <v>108312.4086153846</v>
      </c>
      <c r="J341" s="3" t="n">
        <v>109900</v>
      </c>
      <c r="K341" s="3" t="n">
        <v>50794.11764705883</v>
      </c>
      <c r="L341" s="5" t="n">
        <v>0.2832332956215759</v>
      </c>
      <c r="M341" s="3" t="n">
        <v>64647.05882352941</v>
      </c>
      <c r="N341" s="5" t="n">
        <v>0.4368261608455238</v>
      </c>
      <c r="O341" s="3" t="n">
        <v>98829.64</v>
      </c>
      <c r="P341" s="5" t="n">
        <v>0.631613225468672</v>
      </c>
      <c r="Q341" s="3" t="n">
        <v>69160</v>
      </c>
      <c r="R341" s="5" t="n">
        <v>0.4735752991947324</v>
      </c>
      <c r="S341" s="3" t="n">
        <v>67.60000000000001</v>
      </c>
      <c r="T341" s="5" t="n">
        <v>0.8582702728601203</v>
      </c>
      <c r="U341" s="6">
        <f>IF(OR(K341="",E341=""),"",(K341-E341)/K341)</f>
        <v/>
      </c>
      <c r="V341" s="6">
        <f>IF(OR(M341="",E341=""),"",(M341-E341)/M341)</f>
        <v/>
      </c>
      <c r="W341" s="6">
        <f>IF(OR(O341="",E341=""),"",(O341-E341)/O341)</f>
        <v/>
      </c>
      <c r="X341" s="6">
        <f>IF(OR(Q341="",E341=""),"",(Q341-E341)/Q341)</f>
        <v/>
      </c>
      <c r="Y341" s="6">
        <f>IF(OR(S341="",E341=""),"",((S341*3500)-E341)/(S341*3500))</f>
        <v/>
      </c>
      <c r="Z341" s="7" t="n"/>
    </row>
    <row r="342">
      <c r="A342" s="2" t="inlineStr">
        <is>
          <t>SECRET GARDEN</t>
        </is>
      </c>
      <c r="B342" s="2" t="inlineStr">
        <is>
          <t>GARDEN UNDERWIRE ONE PIECE</t>
        </is>
      </c>
      <c r="C342" s="2" t="inlineStr">
        <is>
          <t>263341/GARD</t>
        </is>
      </c>
      <c r="D342" s="2" t="n">
        <v>5000</v>
      </c>
      <c r="E342" s="3" t="n">
        <v>49820.17444444444</v>
      </c>
      <c r="F342" s="4" t="n">
        <v>11926</v>
      </c>
      <c r="G342" s="3">
        <f>IF(OR(E342="",F342=""),"",E342+F342)</f>
        <v/>
      </c>
      <c r="H342" s="3" t="n">
        <v>73477.94758888888</v>
      </c>
      <c r="I342" s="3" t="n">
        <v>183694.8689722222</v>
      </c>
      <c r="J342" s="3" t="n">
        <v>199900</v>
      </c>
      <c r="K342" s="3" t="n">
        <v>92390.75630252103</v>
      </c>
      <c r="L342" s="5" t="n">
        <v>0.331684500533095</v>
      </c>
      <c r="M342" s="3" t="n">
        <v>117588.2352941176</v>
      </c>
      <c r="N342" s="5" t="n">
        <v>0.4748949647045745</v>
      </c>
      <c r="O342" s="3" t="n">
        <v>190057</v>
      </c>
      <c r="P342" s="5" t="n">
        <v>0.6751175992231571</v>
      </c>
      <c r="Q342" s="3" t="n">
        <v>133000</v>
      </c>
      <c r="R342" s="5" t="n">
        <v>0.5357430492898914</v>
      </c>
      <c r="S342" s="3" t="n">
        <v>130</v>
      </c>
      <c r="T342" s="5" t="n">
        <v>0.8750077440395861</v>
      </c>
      <c r="U342" s="6">
        <f>IF(OR(K342="",E342=""),"",(K342-E342)/K342)</f>
        <v/>
      </c>
      <c r="V342" s="6">
        <f>IF(OR(M342="",E342=""),"",(M342-E342)/M342)</f>
        <v/>
      </c>
      <c r="W342" s="6">
        <f>IF(OR(O342="",E342=""),"",(O342-E342)/O342)</f>
        <v/>
      </c>
      <c r="X342" s="6">
        <f>IF(OR(Q342="",E342=""),"",(Q342-E342)/Q342)</f>
        <v/>
      </c>
      <c r="Y342" s="6">
        <f>IF(OR(S342="",E342=""),"",((S342*3500)-E342)/(S342*3500))</f>
        <v/>
      </c>
      <c r="Z342" s="7" t="n"/>
    </row>
    <row r="343">
      <c r="A343" s="2" t="inlineStr">
        <is>
          <t>SECRET GARDEN</t>
        </is>
      </c>
      <c r="B343" s="2" t="inlineStr">
        <is>
          <t>GARDEN ONE SHOULDER ONE PIECE</t>
        </is>
      </c>
      <c r="C343" s="2" t="inlineStr">
        <is>
          <t>263326/GARD</t>
        </is>
      </c>
      <c r="D343" s="2" t="n">
        <v>5000</v>
      </c>
      <c r="E343" s="3" t="n">
        <v>50818.26518928901</v>
      </c>
      <c r="F343" s="4" t="n">
        <v>11926</v>
      </c>
      <c r="G343" s="3">
        <f>IF(OR(E343="",F343=""),"",E343+F343)</f>
        <v/>
      </c>
      <c r="H343" s="3" t="n">
        <v>74665.67557525392</v>
      </c>
      <c r="I343" s="3" t="n">
        <v>186664.1889381348</v>
      </c>
      <c r="J343" s="3" t="n">
        <v>199900</v>
      </c>
      <c r="K343" s="3" t="n">
        <v>92390.75630252103</v>
      </c>
      <c r="L343" s="5" t="n">
        <v>0.3208815719200154</v>
      </c>
      <c r="M343" s="3" t="n">
        <v>117588.2352941176</v>
      </c>
      <c r="N343" s="5" t="n">
        <v>0.4664069493657262</v>
      </c>
      <c r="O343" s="3" t="n">
        <v>197659.28</v>
      </c>
      <c r="P343" s="5" t="n">
        <v>0.6825635245191168</v>
      </c>
      <c r="Q343" s="3" t="n">
        <v>138320</v>
      </c>
      <c r="R343" s="5" t="n">
        <v>0.546383276537818</v>
      </c>
      <c r="S343" s="3" t="n">
        <v>135.2</v>
      </c>
      <c r="T343" s="5" t="n">
        <v>0.8778724206063356</v>
      </c>
      <c r="U343" s="6">
        <f>IF(OR(K343="",E343=""),"",(K343-E343)/K343)</f>
        <v/>
      </c>
      <c r="V343" s="6">
        <f>IF(OR(M343="",E343=""),"",(M343-E343)/M343)</f>
        <v/>
      </c>
      <c r="W343" s="6">
        <f>IF(OR(O343="",E343=""),"",(O343-E343)/O343)</f>
        <v/>
      </c>
      <c r="X343" s="6">
        <f>IF(OR(Q343="",E343=""),"",(Q343-E343)/Q343)</f>
        <v/>
      </c>
      <c r="Y343" s="6">
        <f>IF(OR(S343="",E343=""),"",((S343*3500)-E343)/(S343*3500))</f>
        <v/>
      </c>
      <c r="Z343" s="7" t="n"/>
    </row>
    <row r="344">
      <c r="A344" s="2" t="inlineStr">
        <is>
          <t>SECRET GARDEN</t>
        </is>
      </c>
      <c r="B344" s="2" t="inlineStr">
        <is>
          <t>GARDEN PAREO</t>
        </is>
      </c>
      <c r="C344" s="2" t="inlineStr">
        <is>
          <t>26RE22/GARD</t>
        </is>
      </c>
      <c r="D344" s="2" t="n">
        <v>5000</v>
      </c>
      <c r="E344" s="3" t="n">
        <v>31861.02857142857</v>
      </c>
      <c r="F344" s="4" t="n">
        <v>11926</v>
      </c>
      <c r="G344" s="3">
        <f>IF(OR(E344="",F344=""),"",E344+F344)</f>
        <v/>
      </c>
      <c r="H344" s="3" t="n">
        <v>52106.564</v>
      </c>
      <c r="I344" s="3" t="n">
        <v>130266.41</v>
      </c>
      <c r="J344" s="3" t="n">
        <v>139900</v>
      </c>
      <c r="K344" s="3" t="n">
        <v>64659.66386554623</v>
      </c>
      <c r="L344" s="5" t="n">
        <v>0.322807667814673</v>
      </c>
      <c r="M344" s="3" t="n">
        <v>82294.11764705883</v>
      </c>
      <c r="N344" s="5" t="n">
        <v>0.4679203104258144</v>
      </c>
      <c r="O344" s="3" t="n">
        <v>136841.04</v>
      </c>
      <c r="P344" s="5" t="n">
        <v>0.6800153771746504</v>
      </c>
      <c r="Q344" s="3" t="n">
        <v>95760</v>
      </c>
      <c r="R344" s="5" t="n">
        <v>0.5427419739825755</v>
      </c>
      <c r="S344" s="3" t="n">
        <v>93.60000000000001</v>
      </c>
      <c r="T344" s="5" t="n">
        <v>0.8768920699183858</v>
      </c>
      <c r="U344" s="6">
        <f>IF(OR(K344="",E344=""),"",(K344-E344)/K344)</f>
        <v/>
      </c>
      <c r="V344" s="6">
        <f>IF(OR(M344="",E344=""),"",(M344-E344)/M344)</f>
        <v/>
      </c>
      <c r="W344" s="6">
        <f>IF(OR(O344="",E344=""),"",(O344-E344)/O344)</f>
        <v/>
      </c>
      <c r="X344" s="6">
        <f>IF(OR(Q344="",E344=""),"",(Q344-E344)/Q344)</f>
        <v/>
      </c>
      <c r="Y344" s="6">
        <f>IF(OR(S344="",E344=""),"",((S344*3500)-E344)/(S344*3500))</f>
        <v/>
      </c>
      <c r="Z344" s="7" t="n"/>
    </row>
    <row r="345">
      <c r="A345" s="2" t="inlineStr">
        <is>
          <t>SECRET GARDEN</t>
        </is>
      </c>
      <c r="B345" s="2" t="inlineStr">
        <is>
          <t>TOALLA GARDEN</t>
        </is>
      </c>
      <c r="C345" s="2" t="inlineStr">
        <is>
          <t>26TO27/GARD</t>
        </is>
      </c>
      <c r="D345" s="2" t="n">
        <v>5000</v>
      </c>
      <c r="E345" s="3" t="n">
        <v>35704.62</v>
      </c>
      <c r="F345" s="4" t="n">
        <v>11926</v>
      </c>
      <c r="G345" s="3">
        <f>IF(OR(E345="",F345=""),"",E345+F345)</f>
        <v/>
      </c>
      <c r="H345" s="3" t="n">
        <v>56680.4378</v>
      </c>
      <c r="I345" s="3" t="n">
        <v>141701.0945</v>
      </c>
      <c r="J345" s="3" t="n">
        <v>89900</v>
      </c>
      <c r="K345" s="3" t="n">
        <v>41550.42016806723</v>
      </c>
      <c r="L345" s="5" t="n">
        <v>-0.1463330528870461</v>
      </c>
      <c r="M345" s="3" t="n">
        <v>52882.35294117647</v>
      </c>
      <c r="N345" s="5" t="n">
        <v>0.09930974416017789</v>
      </c>
      <c r="O345" s="3" t="n">
        <v>144443.32</v>
      </c>
      <c r="P345" s="5" t="n">
        <v>0.6702469868457746</v>
      </c>
      <c r="Q345" s="3" t="n">
        <v>101080</v>
      </c>
      <c r="R345" s="5" t="n">
        <v>0.5287829442026117</v>
      </c>
      <c r="S345" s="3" t="n">
        <v>98.8</v>
      </c>
      <c r="T345" s="5" t="n">
        <v>0.8731338695930109</v>
      </c>
      <c r="U345" s="6">
        <f>IF(OR(K345="",E345=""),"",(K345-E345)/K345)</f>
        <v/>
      </c>
      <c r="V345" s="6">
        <f>IF(OR(M345="",E345=""),"",(M345-E345)/M345)</f>
        <v/>
      </c>
      <c r="W345" s="6">
        <f>IF(OR(O345="",E345=""),"",(O345-E345)/O345)</f>
        <v/>
      </c>
      <c r="X345" s="6">
        <f>IF(OR(Q345="",E345=""),"",(Q345-E345)/Q345)</f>
        <v/>
      </c>
      <c r="Y345" s="6">
        <f>IF(OR(S345="",E345=""),"",((S345*3500)-E345)/(S345*3500))</f>
        <v/>
      </c>
      <c r="Z345" s="7" t="n"/>
    </row>
    <row r="346">
      <c r="A346" s="2" t="inlineStr">
        <is>
          <t>SECRET GARDEN</t>
        </is>
      </c>
      <c r="B346" s="2" t="inlineStr">
        <is>
          <t>GARDEN MESH DRESS</t>
        </is>
      </c>
      <c r="C346" s="2" t="inlineStr">
        <is>
          <t>26VE32/GARD</t>
        </is>
      </c>
      <c r="D346" s="2" t="n">
        <v>5000</v>
      </c>
      <c r="E346" s="3" t="n">
        <v>47771.70114942528</v>
      </c>
      <c r="F346" s="4" t="n">
        <v>11926</v>
      </c>
      <c r="G346" s="3">
        <f>IF(OR(E346="",F346=""),"",E346+F346)</f>
        <v/>
      </c>
      <c r="H346" s="3" t="n">
        <v>71040.26436781608</v>
      </c>
      <c r="I346" s="3" t="n">
        <v>177600.6609195402</v>
      </c>
      <c r="J346" s="3" t="n">
        <v>169900</v>
      </c>
      <c r="K346" s="3" t="n">
        <v>78525.21008403362</v>
      </c>
      <c r="L346" s="5" t="n">
        <v>0.2397638785615488</v>
      </c>
      <c r="M346" s="3" t="n">
        <v>99941.17647058824</v>
      </c>
      <c r="N346" s="5" t="n">
        <v>0.4026716188697883</v>
      </c>
      <c r="O346" s="3" t="n">
        <v>182454.72</v>
      </c>
      <c r="P346" s="5" t="n">
        <v>0.6728081293297028</v>
      </c>
      <c r="Q346" s="3" t="n">
        <v>127680</v>
      </c>
      <c r="R346" s="5" t="n">
        <v>0.5324428168121453</v>
      </c>
      <c r="S346" s="3" t="n">
        <v>124.8</v>
      </c>
      <c r="T346" s="5" t="n">
        <v>0.8741192199109622</v>
      </c>
      <c r="U346" s="6">
        <f>IF(OR(K346="",E346=""),"",(K346-E346)/K346)</f>
        <v/>
      </c>
      <c r="V346" s="6">
        <f>IF(OR(M346="",E346=""),"",(M346-E346)/M346)</f>
        <v/>
      </c>
      <c r="W346" s="6">
        <f>IF(OR(O346="",E346=""),"",(O346-E346)/O346)</f>
        <v/>
      </c>
      <c r="X346" s="6">
        <f>IF(OR(Q346="",E346=""),"",(Q346-E346)/Q346)</f>
        <v/>
      </c>
      <c r="Y346" s="6">
        <f>IF(OR(S346="",E346=""),"",((S346*3500)-E346)/(S346*3500))</f>
        <v/>
      </c>
      <c r="Z346" s="7" t="n"/>
    </row>
    <row r="347">
      <c r="A347" s="2" t="inlineStr">
        <is>
          <t>SECRET GARDEN</t>
        </is>
      </c>
      <c r="B347" s="2" t="inlineStr">
        <is>
          <t>GARDEN MESH SHIRT</t>
        </is>
      </c>
      <c r="C347" s="2" t="inlineStr">
        <is>
          <t>26CA36/GARD</t>
        </is>
      </c>
      <c r="D347" s="2" t="n">
        <v>5000</v>
      </c>
      <c r="E347" s="3" t="n">
        <v>29596.27</v>
      </c>
      <c r="F347" s="4" t="n">
        <v>11926</v>
      </c>
      <c r="G347" s="3">
        <f>IF(OR(E347="",F347=""),"",E347+F347)</f>
        <v/>
      </c>
      <c r="H347" s="3" t="n">
        <v>49411.5013</v>
      </c>
      <c r="I347" s="3" t="n">
        <v>123528.75325</v>
      </c>
      <c r="J347" s="3" t="n">
        <v>129900</v>
      </c>
      <c r="K347" s="3" t="n">
        <v>60037.81512605043</v>
      </c>
      <c r="L347" s="5" t="n">
        <v>0.3083980502484429</v>
      </c>
      <c r="M347" s="3" t="n">
        <v>76411.76470588235</v>
      </c>
      <c r="N347" s="5" t="n">
        <v>0.4565984680523479</v>
      </c>
      <c r="O347" s="3" t="n">
        <v>144443.32</v>
      </c>
      <c r="P347" s="5" t="n">
        <v>0.7125358929717206</v>
      </c>
      <c r="Q347" s="3" t="n">
        <v>101080</v>
      </c>
      <c r="R347" s="5" t="n">
        <v>0.5892137910565888</v>
      </c>
      <c r="S347" s="3" t="n">
        <v>98.8</v>
      </c>
      <c r="T347" s="5" t="n">
        <v>0.8894037129767739</v>
      </c>
      <c r="U347" s="6">
        <f>IF(OR(K347="",E347=""),"",(K347-E347)/K347)</f>
        <v/>
      </c>
      <c r="V347" s="6">
        <f>IF(OR(M347="",E347=""),"",(M347-E347)/M347)</f>
        <v/>
      </c>
      <c r="W347" s="6">
        <f>IF(OR(O347="",E347=""),"",(O347-E347)/O347)</f>
        <v/>
      </c>
      <c r="X347" s="6">
        <f>IF(OR(Q347="",E347=""),"",(Q347-E347)/Q347)</f>
        <v/>
      </c>
      <c r="Y347" s="6">
        <f>IF(OR(S347="",E347=""),"",((S347*3500)-E347)/(S347*3500))</f>
        <v/>
      </c>
      <c r="Z347" s="7" t="n"/>
    </row>
    <row r="348">
      <c r="A348" s="2" t="inlineStr">
        <is>
          <t>SECRET GARDEN</t>
        </is>
      </c>
      <c r="B348" s="2" t="inlineStr">
        <is>
          <t>GARDEN SLEEP SLEEVELESS SHIRT</t>
        </is>
      </c>
      <c r="C348" s="2" t="inlineStr">
        <is>
          <t>264124/GARD</t>
        </is>
      </c>
      <c r="D348" s="2" t="n">
        <v>5000</v>
      </c>
      <c r="E348" s="3" t="n">
        <v>18336.66</v>
      </c>
      <c r="F348" s="4" t="n">
        <v>11926</v>
      </c>
      <c r="G348" s="3">
        <f>IF(OR(E348="",F348=""),"",E348+F348)</f>
        <v/>
      </c>
      <c r="H348" s="3" t="n">
        <v>36012.5654</v>
      </c>
      <c r="I348" s="3" t="n">
        <v>90031.4135</v>
      </c>
      <c r="J348" s="3" t="n">
        <v>89950</v>
      </c>
      <c r="K348" s="3" t="n">
        <v>41573.52941176471</v>
      </c>
      <c r="L348" s="5" t="n">
        <v>0.2720690201627168</v>
      </c>
      <c r="M348" s="3" t="n">
        <v>52911.76470588235</v>
      </c>
      <c r="N348" s="5" t="n">
        <v>0.4280542301278488</v>
      </c>
      <c r="O348" s="3" t="n">
        <v>49414.82</v>
      </c>
      <c r="P348" s="5" t="n">
        <v>0.3875792727768714</v>
      </c>
      <c r="Q348" s="3" t="n">
        <v>34580</v>
      </c>
      <c r="R348" s="5" t="n">
        <v>0.1248507807981492</v>
      </c>
      <c r="S348" s="3" t="n">
        <v>33.8</v>
      </c>
      <c r="T348" s="5" t="n">
        <v>0.7643829025225787</v>
      </c>
      <c r="U348" s="6">
        <f>IF(OR(K348="",E348=""),"",(K348-E348)/K348)</f>
        <v/>
      </c>
      <c r="V348" s="6">
        <f>IF(OR(M348="",E348=""),"",(M348-E348)/M348)</f>
        <v/>
      </c>
      <c r="W348" s="6">
        <f>IF(OR(O348="",E348=""),"",(O348-E348)/O348)</f>
        <v/>
      </c>
      <c r="X348" s="6">
        <f>IF(OR(Q348="",E348=""),"",(Q348-E348)/Q348)</f>
        <v/>
      </c>
      <c r="Y348" s="6">
        <f>IF(OR(S348="",E348=""),"",((S348*3500)-E348)/(S348*3500))</f>
        <v/>
      </c>
      <c r="Z348" s="7" t="n"/>
    </row>
    <row r="349">
      <c r="A349" s="2" t="inlineStr">
        <is>
          <t>SECRET GARDEN</t>
        </is>
      </c>
      <c r="B349" s="2" t="inlineStr">
        <is>
          <t>GARDEN SLEEP SHORT</t>
        </is>
      </c>
      <c r="C349" s="2" t="inlineStr">
        <is>
          <t>264222/GARD</t>
        </is>
      </c>
      <c r="D349" s="2" t="n">
        <v>5000</v>
      </c>
      <c r="E349" s="3" t="n">
        <v>18737.81</v>
      </c>
      <c r="F349" s="4" t="n">
        <v>11926</v>
      </c>
      <c r="G349" s="3">
        <f>IF(OR(E349="",F349=""),"",E349+F349)</f>
        <v/>
      </c>
      <c r="H349" s="3" t="n">
        <v>36489.9339</v>
      </c>
      <c r="I349" s="3" t="n">
        <v>91224.83474999999</v>
      </c>
      <c r="J349" s="3" t="n">
        <v>89950</v>
      </c>
      <c r="K349" s="3" t="n">
        <v>41573.52941176471</v>
      </c>
      <c r="L349" s="5" t="n">
        <v>0.2624198514326142</v>
      </c>
      <c r="M349" s="3" t="n">
        <v>52911.76470588235</v>
      </c>
      <c r="N349" s="5" t="n">
        <v>0.4204727404113396</v>
      </c>
      <c r="O349" s="3" t="n">
        <v>49414.82</v>
      </c>
      <c r="P349" s="5" t="n">
        <v>0.3794612628357242</v>
      </c>
      <c r="Q349" s="3" t="n">
        <v>34580</v>
      </c>
      <c r="R349" s="5" t="n">
        <v>0.1132501445922498</v>
      </c>
      <c r="S349" s="3" t="n">
        <v>33.8</v>
      </c>
      <c r="T349" s="5" t="n">
        <v>0.7612596543132981</v>
      </c>
      <c r="U349" s="6">
        <f>IF(OR(K349="",E349=""),"",(K349-E349)/K349)</f>
        <v/>
      </c>
      <c r="V349" s="6">
        <f>IF(OR(M349="",E349=""),"",(M349-E349)/M349)</f>
        <v/>
      </c>
      <c r="W349" s="6">
        <f>IF(OR(O349="",E349=""),"",(O349-E349)/O349)</f>
        <v/>
      </c>
      <c r="X349" s="6">
        <f>IF(OR(Q349="",E349=""),"",(Q349-E349)/Q349)</f>
        <v/>
      </c>
      <c r="Y349" s="6">
        <f>IF(OR(S349="",E349=""),"",((S349*3500)-E349)/(S349*3500))</f>
        <v/>
      </c>
      <c r="Z349" s="7" t="n"/>
    </row>
    <row r="350">
      <c r="A350" s="2" t="inlineStr">
        <is>
          <t>SECRET GARDEN</t>
        </is>
      </c>
      <c r="B350" s="2" t="inlineStr">
        <is>
          <t>GARDEN SLEEP LONG SHIRT</t>
        </is>
      </c>
      <c r="C350" s="2" t="inlineStr">
        <is>
          <t>264121/GARD</t>
        </is>
      </c>
      <c r="D350" s="2" t="n">
        <v>5000</v>
      </c>
      <c r="E350" s="3" t="n">
        <v>32611.31</v>
      </c>
      <c r="F350" s="4" t="n">
        <v>11926</v>
      </c>
      <c r="G350" s="3">
        <f>IF(OR(E350="",F350=""),"",E350+F350)</f>
        <v/>
      </c>
      <c r="H350" s="3" t="n">
        <v>52999.39889999999</v>
      </c>
      <c r="I350" s="3" t="n">
        <v>132498.49725</v>
      </c>
      <c r="J350" s="3" t="n">
        <v>99950</v>
      </c>
      <c r="K350" s="3" t="n">
        <v>46195.37815126051</v>
      </c>
      <c r="L350" s="5" t="n">
        <v>0.03589251171040089</v>
      </c>
      <c r="M350" s="3" t="n">
        <v>58794.11764705882</v>
      </c>
      <c r="N350" s="5" t="n">
        <v>0.2424869734867433</v>
      </c>
      <c r="O350" s="3" t="n">
        <v>64619.37999999999</v>
      </c>
      <c r="P350" s="5" t="n">
        <v>0.310774724239075</v>
      </c>
      <c r="Q350" s="3" t="n">
        <v>45219.99999999999</v>
      </c>
      <c r="R350" s="5" t="n">
        <v>0.01509708093763811</v>
      </c>
      <c r="S350" s="3" t="n">
        <v>44.2</v>
      </c>
      <c r="T350" s="5" t="n">
        <v>0.7348338294832103</v>
      </c>
      <c r="U350" s="6">
        <f>IF(OR(K350="",E350=""),"",(K350-E350)/K350)</f>
        <v/>
      </c>
      <c r="V350" s="6">
        <f>IF(OR(M350="",E350=""),"",(M350-E350)/M350)</f>
        <v/>
      </c>
      <c r="W350" s="6">
        <f>IF(OR(O350="",E350=""),"",(O350-E350)/O350)</f>
        <v/>
      </c>
      <c r="X350" s="6">
        <f>IF(OR(Q350="",E350=""),"",(Q350-E350)/Q350)</f>
        <v/>
      </c>
      <c r="Y350" s="6">
        <f>IF(OR(S350="",E350=""),"",((S350*3500)-E350)/(S350*3500))</f>
        <v/>
      </c>
      <c r="Z350" s="7" t="n"/>
    </row>
    <row r="351">
      <c r="A351" s="2" t="inlineStr">
        <is>
          <t>SECRET GARDEN</t>
        </is>
      </c>
      <c r="B351" s="2" t="inlineStr">
        <is>
          <t>GARDEN SLEEP PANTS</t>
        </is>
      </c>
      <c r="C351" s="2" t="inlineStr">
        <is>
          <t>264323/GARD</t>
        </is>
      </c>
      <c r="D351" s="2" t="n">
        <v>5000</v>
      </c>
      <c r="E351" s="3" t="n">
        <v>28786.53</v>
      </c>
      <c r="F351" s="4" t="n">
        <v>11926</v>
      </c>
      <c r="G351" s="3">
        <f>IF(OR(E351="",F351=""),"",E351+F351)</f>
        <v/>
      </c>
      <c r="H351" s="3" t="n">
        <v>48447.91069999999</v>
      </c>
      <c r="I351" s="3" t="n">
        <v>121119.77675</v>
      </c>
      <c r="J351" s="3" t="n">
        <v>99950</v>
      </c>
      <c r="K351" s="3" t="n">
        <v>46195.37815126051</v>
      </c>
      <c r="L351" s="5" t="n">
        <v>0.1186882404838785</v>
      </c>
      <c r="M351" s="3" t="n">
        <v>58794.11764705882</v>
      </c>
      <c r="N351" s="5" t="n">
        <v>0.3075407603801901</v>
      </c>
      <c r="O351" s="3" t="n">
        <v>57017.1</v>
      </c>
      <c r="P351" s="5" t="n">
        <v>0.2859592999293195</v>
      </c>
      <c r="Q351" s="3" t="n">
        <v>39900</v>
      </c>
      <c r="R351" s="5" t="n">
        <v>-0.02036416040100248</v>
      </c>
      <c r="S351" s="3" t="n">
        <v>39</v>
      </c>
      <c r="T351" s="5" t="n">
        <v>0.7252865721997301</v>
      </c>
      <c r="U351" s="6">
        <f>IF(OR(K351="",E351=""),"",(K351-E351)/K351)</f>
        <v/>
      </c>
      <c r="V351" s="6">
        <f>IF(OR(M351="",E351=""),"",(M351-E351)/M351)</f>
        <v/>
      </c>
      <c r="W351" s="6">
        <f>IF(OR(O351="",E351=""),"",(O351-E351)/O351)</f>
        <v/>
      </c>
      <c r="X351" s="6">
        <f>IF(OR(Q351="",E351=""),"",(Q351-E351)/Q351)</f>
        <v/>
      </c>
      <c r="Y351" s="6">
        <f>IF(OR(S351="",E351=""),"",((S351*3500)-E351)/(S351*3500))</f>
        <v/>
      </c>
      <c r="Z351" s="7" t="n"/>
    </row>
    <row r="352">
      <c r="A352" s="2" t="inlineStr">
        <is>
          <t>SECRET GARDEN</t>
        </is>
      </c>
      <c r="B352" s="2" t="inlineStr">
        <is>
          <t>GARDEN SLEEP SHORT SLEEVELESS SHIRT</t>
        </is>
      </c>
      <c r="C352" s="2" t="inlineStr">
        <is>
          <t>264125/GARD</t>
        </is>
      </c>
      <c r="D352" s="2" t="n">
        <v>5000</v>
      </c>
      <c r="E352" s="3" t="n">
        <v>21807.84375</v>
      </c>
      <c r="F352" s="4" t="n">
        <v>11926</v>
      </c>
      <c r="G352" s="3">
        <f>IF(OR(E352="",F352=""),"",E352+F352)</f>
        <v/>
      </c>
      <c r="H352" s="3" t="n">
        <v>40143.2740625</v>
      </c>
      <c r="I352" s="3" t="n">
        <v>100358.18515625</v>
      </c>
      <c r="J352" s="3" t="n">
        <v>94950</v>
      </c>
      <c r="K352" s="3" t="n">
        <v>43884.45378151261</v>
      </c>
      <c r="L352" s="5" t="n">
        <v>0.2313030961271483</v>
      </c>
      <c r="M352" s="3" t="n">
        <v>55852.94117647059</v>
      </c>
      <c r="N352" s="5" t="n">
        <v>0.3960238612427593</v>
      </c>
      <c r="O352" s="3" t="n">
        <v>57017.1</v>
      </c>
      <c r="P352" s="5" t="n">
        <v>0.4083556731226246</v>
      </c>
      <c r="Q352" s="3" t="n">
        <v>39900</v>
      </c>
      <c r="R352" s="5" t="n">
        <v>0.1545402568922306</v>
      </c>
      <c r="S352" s="3" t="n">
        <v>39</v>
      </c>
      <c r="T352" s="5" t="n">
        <v>0.7723762230094466</v>
      </c>
      <c r="U352" s="6">
        <f>IF(OR(K352="",E352=""),"",(K352-E352)/K352)</f>
        <v/>
      </c>
      <c r="V352" s="6">
        <f>IF(OR(M352="",E352=""),"",(M352-E352)/M352)</f>
        <v/>
      </c>
      <c r="W352" s="6">
        <f>IF(OR(O352="",E352=""),"",(O352-E352)/O352)</f>
        <v/>
      </c>
      <c r="X352" s="6">
        <f>IF(OR(Q352="",E352=""),"",(Q352-E352)/Q352)</f>
        <v/>
      </c>
      <c r="Y352" s="6">
        <f>IF(OR(S352="",E352=""),"",((S352*3500)-E352)/(S352*3500))</f>
        <v/>
      </c>
      <c r="Z352" s="7" t="n"/>
    </row>
    <row r="353">
      <c r="A353" s="2" t="inlineStr">
        <is>
          <t>SECRET GARDEN</t>
        </is>
      </c>
      <c r="B353" s="2" t="inlineStr">
        <is>
          <t>SOUL TRIANGLE TOP</t>
        </is>
      </c>
      <c r="C353" s="2" t="inlineStr">
        <is>
          <t>263135/SUL</t>
        </is>
      </c>
      <c r="D353" s="2" t="n">
        <v>5000</v>
      </c>
      <c r="E353" s="3" t="n">
        <v>23661.8475421436</v>
      </c>
      <c r="F353" s="4" t="n">
        <v>11926</v>
      </c>
      <c r="G353" s="3">
        <f>IF(OR(E353="",F353=""),"",E353+F353)</f>
        <v/>
      </c>
      <c r="H353" s="3" t="n">
        <v>42349.53857515088</v>
      </c>
      <c r="I353" s="3" t="n">
        <v>105873.8464378772</v>
      </c>
      <c r="J353" s="3" t="n">
        <v>109900</v>
      </c>
      <c r="K353" s="3" t="n">
        <v>50794.11764705883</v>
      </c>
      <c r="L353" s="5" t="n">
        <v>0.2993706911216663</v>
      </c>
      <c r="M353" s="3" t="n">
        <v>64647.05882352941</v>
      </c>
      <c r="N353" s="5" t="n">
        <v>0.4495055430241662</v>
      </c>
      <c r="O353" s="3" t="n">
        <v>98829.64</v>
      </c>
      <c r="P353" s="5" t="n">
        <v>0.6399071418033739</v>
      </c>
      <c r="Q353" s="3" t="n">
        <v>69160</v>
      </c>
      <c r="R353" s="5" t="n">
        <v>0.4854273056370214</v>
      </c>
      <c r="S353" s="3" t="n">
        <v>67.60000000000001</v>
      </c>
      <c r="T353" s="5" t="n">
        <v>0.8614611976715058</v>
      </c>
      <c r="U353" s="6">
        <f>IF(OR(K353="",E353=""),"",(K353-E353)/K353)</f>
        <v/>
      </c>
      <c r="V353" s="6">
        <f>IF(OR(M353="",E353=""),"",(M353-E353)/M353)</f>
        <v/>
      </c>
      <c r="W353" s="6">
        <f>IF(OR(O353="",E353=""),"",(O353-E353)/O353)</f>
        <v/>
      </c>
      <c r="X353" s="6">
        <f>IF(OR(Q353="",E353=""),"",(Q353-E353)/Q353)</f>
        <v/>
      </c>
      <c r="Y353" s="6">
        <f>IF(OR(S353="",E353=""),"",((S353*3500)-E353)/(S353*3500))</f>
        <v/>
      </c>
      <c r="Z353" s="7" t="n"/>
    </row>
    <row r="354">
      <c r="A354" s="2" t="inlineStr">
        <is>
          <t>SECRET GARDEN</t>
        </is>
      </c>
      <c r="B354" s="2" t="inlineStr">
        <is>
          <t>SOUL STRAP TIE SIDE BOTTOM</t>
        </is>
      </c>
      <c r="C354" s="2" t="inlineStr">
        <is>
          <t>263236/SUL</t>
        </is>
      </c>
      <c r="D354" s="2" t="n">
        <v>5000</v>
      </c>
      <c r="E354" s="3" t="n">
        <v>28313.72014151925</v>
      </c>
      <c r="F354" s="4" t="n">
        <v>11926</v>
      </c>
      <c r="G354" s="3">
        <f>IF(OR(E354="",F354=""),"",E354+F354)</f>
        <v/>
      </c>
      <c r="H354" s="3" t="n">
        <v>47885.26696840791</v>
      </c>
      <c r="I354" s="3" t="n">
        <v>119713.1674210198</v>
      </c>
      <c r="J354" s="3" t="n">
        <v>119900</v>
      </c>
      <c r="K354" s="3" t="n">
        <v>55415.96638655462</v>
      </c>
      <c r="L354" s="5" t="n">
        <v>0.2738605357736309</v>
      </c>
      <c r="M354" s="3" t="n">
        <v>70529.41176470587</v>
      </c>
      <c r="N354" s="5" t="n">
        <v>0.4294618495364242</v>
      </c>
      <c r="O354" s="3" t="n">
        <v>98829.64</v>
      </c>
      <c r="P354" s="5" t="n">
        <v>0.5928375319234265</v>
      </c>
      <c r="Q354" s="3" t="n">
        <v>69160</v>
      </c>
      <c r="R354" s="5" t="n">
        <v>0.4181648331185764</v>
      </c>
      <c r="S354" s="3" t="n">
        <v>67.60000000000001</v>
      </c>
      <c r="T354" s="5" t="n">
        <v>0.8433520704550014</v>
      </c>
      <c r="U354" s="6">
        <f>IF(OR(K354="",E354=""),"",(K354-E354)/K354)</f>
        <v/>
      </c>
      <c r="V354" s="6">
        <f>IF(OR(M354="",E354=""),"",(M354-E354)/M354)</f>
        <v/>
      </c>
      <c r="W354" s="6">
        <f>IF(OR(O354="",E354=""),"",(O354-E354)/O354)</f>
        <v/>
      </c>
      <c r="X354" s="6">
        <f>IF(OR(Q354="",E354=""),"",(Q354-E354)/Q354)</f>
        <v/>
      </c>
      <c r="Y354" s="6">
        <f>IF(OR(S354="",E354=""),"",((S354*3500)-E354)/(S354*3500))</f>
        <v/>
      </c>
      <c r="Z354" s="7" t="n"/>
    </row>
    <row r="355">
      <c r="A355" s="2" t="inlineStr">
        <is>
          <t>SECRET GARDEN</t>
        </is>
      </c>
      <c r="B355" s="2" t="inlineStr">
        <is>
          <t>SOUL UNDERWIRE BRALETTE TOP</t>
        </is>
      </c>
      <c r="C355" s="2" t="inlineStr">
        <is>
          <t>263149/SUL</t>
        </is>
      </c>
      <c r="D355" s="2" t="n">
        <v>5000</v>
      </c>
      <c r="E355" s="3" t="n">
        <v>36308.72871428572</v>
      </c>
      <c r="F355" s="4" t="n">
        <v>11926</v>
      </c>
      <c r="G355" s="3">
        <f>IF(OR(E355="",F355=""),"",E355+F355)</f>
        <v/>
      </c>
      <c r="H355" s="3" t="n">
        <v>57399.32717</v>
      </c>
      <c r="I355" s="3" t="n">
        <v>143498.317925</v>
      </c>
      <c r="J355" s="3" t="n">
        <v>139900</v>
      </c>
      <c r="K355" s="3" t="n">
        <v>64659.66386554623</v>
      </c>
      <c r="L355" s="5" t="n">
        <v>0.2540213507050492</v>
      </c>
      <c r="M355" s="3" t="n">
        <v>82294.11764705883</v>
      </c>
      <c r="N355" s="5" t="n">
        <v>0.41387391841111</v>
      </c>
      <c r="O355" s="3" t="n">
        <v>121636.48</v>
      </c>
      <c r="P355" s="5" t="n">
        <v>0.6034517875370472</v>
      </c>
      <c r="Q355" s="3" t="n">
        <v>85120</v>
      </c>
      <c r="R355" s="5" t="n">
        <v>0.4333326043904404</v>
      </c>
      <c r="S355" s="3" t="n">
        <v>83.2</v>
      </c>
      <c r="T355" s="5" t="n">
        <v>0.8474357011820417</v>
      </c>
      <c r="U355" s="6">
        <f>IF(OR(K355="",E355=""),"",(K355-E355)/K355)</f>
        <v/>
      </c>
      <c r="V355" s="6">
        <f>IF(OR(M355="",E355=""),"",(M355-E355)/M355)</f>
        <v/>
      </c>
      <c r="W355" s="6">
        <f>IF(OR(O355="",E355=""),"",(O355-E355)/O355)</f>
        <v/>
      </c>
      <c r="X355" s="6">
        <f>IF(OR(Q355="",E355=""),"",(Q355-E355)/Q355)</f>
        <v/>
      </c>
      <c r="Y355" s="6">
        <f>IF(OR(S355="",E355=""),"",((S355*3500)-E355)/(S355*3500))</f>
        <v/>
      </c>
      <c r="Z355" s="7" t="n"/>
    </row>
    <row r="356">
      <c r="A356" s="2" t="inlineStr">
        <is>
          <t>SECRET GARDEN</t>
        </is>
      </c>
      <c r="B356" s="2" t="inlineStr">
        <is>
          <t>SOUL HIGH WAIST BOTTOM</t>
        </is>
      </c>
      <c r="C356" s="2" t="inlineStr">
        <is>
          <t>263223/SUL</t>
        </is>
      </c>
      <c r="D356" s="2" t="n">
        <v>5000</v>
      </c>
      <c r="E356" s="3" t="n">
        <v>24481.53230769231</v>
      </c>
      <c r="F356" s="4" t="n">
        <v>11926</v>
      </c>
      <c r="G356" s="3">
        <f>IF(OR(E356="",F356=""),"",E356+F356)</f>
        <v/>
      </c>
      <c r="H356" s="3" t="n">
        <v>43324.96344615384</v>
      </c>
      <c r="I356" s="3" t="n">
        <v>108312.4086153846</v>
      </c>
      <c r="J356" s="3" t="n">
        <v>109900</v>
      </c>
      <c r="K356" s="3" t="n">
        <v>50794.11764705883</v>
      </c>
      <c r="L356" s="5" t="n">
        <v>0.2832332956215759</v>
      </c>
      <c r="M356" s="3" t="n">
        <v>64647.05882352941</v>
      </c>
      <c r="N356" s="5" t="n">
        <v>0.4368261608455238</v>
      </c>
      <c r="O356" s="3" t="n">
        <v>98829.64</v>
      </c>
      <c r="P356" s="5" t="n">
        <v>0.631613225468672</v>
      </c>
      <c r="Q356" s="3" t="n">
        <v>69160</v>
      </c>
      <c r="R356" s="5" t="n">
        <v>0.4735752991947324</v>
      </c>
      <c r="S356" s="3" t="n">
        <v>67.60000000000001</v>
      </c>
      <c r="T356" s="5" t="n">
        <v>0.8582702728601203</v>
      </c>
      <c r="U356" s="6">
        <f>IF(OR(K356="",E356=""),"",(K356-E356)/K356)</f>
        <v/>
      </c>
      <c r="V356" s="6">
        <f>IF(OR(M356="",E356=""),"",(M356-E356)/M356)</f>
        <v/>
      </c>
      <c r="W356" s="6">
        <f>IF(OR(O356="",E356=""),"",(O356-E356)/O356)</f>
        <v/>
      </c>
      <c r="X356" s="6">
        <f>IF(OR(Q356="",E356=""),"",(Q356-E356)/Q356)</f>
        <v/>
      </c>
      <c r="Y356" s="6">
        <f>IF(OR(S356="",E356=""),"",((S356*3500)-E356)/(S356*3500))</f>
        <v/>
      </c>
      <c r="Z356" s="7" t="n"/>
    </row>
    <row r="357">
      <c r="A357" s="2" t="inlineStr">
        <is>
          <t>SECRET GARDEN</t>
        </is>
      </c>
      <c r="B357" s="2" t="inlineStr">
        <is>
          <t>SOUL STRAIGHT ONE PIECE</t>
        </is>
      </c>
      <c r="C357" s="2" t="inlineStr">
        <is>
          <t>263370/SUL</t>
        </is>
      </c>
      <c r="D357" s="2" t="n">
        <v>5000</v>
      </c>
      <c r="E357" s="3" t="n">
        <v>42873.6112</v>
      </c>
      <c r="F357" s="4" t="n">
        <v>11926</v>
      </c>
      <c r="G357" s="3">
        <f>IF(OR(E357="",F357=""),"",E357+F357)</f>
        <v/>
      </c>
      <c r="H357" s="3" t="n">
        <v>65211.537328</v>
      </c>
      <c r="I357" s="3" t="n">
        <v>163028.84332</v>
      </c>
      <c r="J357" s="3" t="n">
        <v>189900</v>
      </c>
      <c r="K357" s="3" t="n">
        <v>87768.90756302522</v>
      </c>
      <c r="L357" s="5" t="n">
        <v>0.3756375381492653</v>
      </c>
      <c r="M357" s="3" t="n">
        <v>111705.8823529412</v>
      </c>
      <c r="N357" s="5" t="n">
        <v>0.509429494260137</v>
      </c>
      <c r="O357" s="3" t="n">
        <v>190057</v>
      </c>
      <c r="P357" s="5" t="n">
        <v>0.7116674934361797</v>
      </c>
      <c r="Q357" s="3" t="n">
        <v>133000</v>
      </c>
      <c r="R357" s="5" t="n">
        <v>0.5879728481203007</v>
      </c>
      <c r="S357" s="3" t="n">
        <v>130</v>
      </c>
      <c r="T357" s="5" t="n">
        <v>0.8890696129554656</v>
      </c>
      <c r="U357" s="6">
        <f>IF(OR(K357="",E357=""),"",(K357-E357)/K357)</f>
        <v/>
      </c>
      <c r="V357" s="6">
        <f>IF(OR(M357="",E357=""),"",(M357-E357)/M357)</f>
        <v/>
      </c>
      <c r="W357" s="6">
        <f>IF(OR(O357="",E357=""),"",(O357-E357)/O357)</f>
        <v/>
      </c>
      <c r="X357" s="6">
        <f>IF(OR(Q357="",E357=""),"",(Q357-E357)/Q357)</f>
        <v/>
      </c>
      <c r="Y357" s="6">
        <f>IF(OR(S357="",E357=""),"",((S357*3500)-E357)/(S357*3500))</f>
        <v/>
      </c>
      <c r="Z357" s="7" t="n"/>
    </row>
    <row r="358">
      <c r="A358" s="2" t="inlineStr">
        <is>
          <t>SECRET GARDEN</t>
        </is>
      </c>
      <c r="B358" s="2" t="inlineStr">
        <is>
          <t>SOUL ONE SHOULDER ONE PIECE</t>
        </is>
      </c>
      <c r="C358" s="2" t="inlineStr">
        <is>
          <t>263326/SUL</t>
        </is>
      </c>
      <c r="D358" s="2" t="n">
        <v>5000</v>
      </c>
      <c r="E358" s="3" t="n">
        <v>50818.26518928901</v>
      </c>
      <c r="F358" s="4" t="n">
        <v>11926</v>
      </c>
      <c r="G358" s="3">
        <f>IF(OR(E358="",F358=""),"",E358+F358)</f>
        <v/>
      </c>
      <c r="H358" s="3" t="n">
        <v>74665.67557525392</v>
      </c>
      <c r="I358" s="3" t="n">
        <v>186664.1889381348</v>
      </c>
      <c r="J358" s="3" t="n">
        <v>199900</v>
      </c>
      <c r="K358" s="3" t="n">
        <v>92390.75630252103</v>
      </c>
      <c r="L358" s="5" t="n">
        <v>0.3208815719200154</v>
      </c>
      <c r="M358" s="3" t="n">
        <v>117588.2352941176</v>
      </c>
      <c r="N358" s="5" t="n">
        <v>0.4664069493657262</v>
      </c>
      <c r="O358" s="3" t="n">
        <v>197659.28</v>
      </c>
      <c r="P358" s="5" t="n">
        <v>0.6825635245191168</v>
      </c>
      <c r="Q358" s="3" t="n">
        <v>138320</v>
      </c>
      <c r="R358" s="5" t="n">
        <v>0.546383276537818</v>
      </c>
      <c r="S358" s="3" t="n">
        <v>135.2</v>
      </c>
      <c r="T358" s="5" t="n">
        <v>0.8778724206063356</v>
      </c>
      <c r="U358" s="6">
        <f>IF(OR(K358="",E358=""),"",(K358-E358)/K358)</f>
        <v/>
      </c>
      <c r="V358" s="6">
        <f>IF(OR(M358="",E358=""),"",(M358-E358)/M358)</f>
        <v/>
      </c>
      <c r="W358" s="6">
        <f>IF(OR(O358="",E358=""),"",(O358-E358)/O358)</f>
        <v/>
      </c>
      <c r="X358" s="6">
        <f>IF(OR(Q358="",E358=""),"",(Q358-E358)/Q358)</f>
        <v/>
      </c>
      <c r="Y358" s="6">
        <f>IF(OR(S358="",E358=""),"",((S358*3500)-E358)/(S358*3500))</f>
        <v/>
      </c>
      <c r="Z358" s="7" t="n"/>
    </row>
    <row r="359">
      <c r="A359" s="2" t="inlineStr">
        <is>
          <t>SECRET GARDEN</t>
        </is>
      </c>
      <c r="B359" s="2" t="inlineStr">
        <is>
          <t>SOUL PAREO</t>
        </is>
      </c>
      <c r="C359" s="2" t="inlineStr">
        <is>
          <t>26RE22/SUL</t>
        </is>
      </c>
      <c r="D359" s="2" t="n">
        <v>5000</v>
      </c>
      <c r="E359" s="3" t="n">
        <v>31861.02857142857</v>
      </c>
      <c r="F359" s="4" t="n">
        <v>11926</v>
      </c>
      <c r="G359" s="3">
        <f>IF(OR(E359="",F359=""),"",E359+F359)</f>
        <v/>
      </c>
      <c r="H359" s="3" t="n">
        <v>52106.564</v>
      </c>
      <c r="I359" s="3" t="n">
        <v>130266.41</v>
      </c>
      <c r="J359" s="3" t="n">
        <v>139900</v>
      </c>
      <c r="K359" s="3" t="n">
        <v>64659.66386554623</v>
      </c>
      <c r="L359" s="5" t="n">
        <v>0.322807667814673</v>
      </c>
      <c r="M359" s="3" t="n">
        <v>82294.11764705883</v>
      </c>
      <c r="N359" s="5" t="n">
        <v>0.4679203104258144</v>
      </c>
      <c r="O359" s="3" t="n">
        <v>136841.04</v>
      </c>
      <c r="P359" s="5" t="n">
        <v>0.6800153771746504</v>
      </c>
      <c r="Q359" s="3" t="n">
        <v>95760</v>
      </c>
      <c r="R359" s="5" t="n">
        <v>0.5427419739825755</v>
      </c>
      <c r="S359" s="3" t="n">
        <v>93.60000000000001</v>
      </c>
      <c r="T359" s="5" t="n">
        <v>0.8768920699183858</v>
      </c>
      <c r="U359" s="6">
        <f>IF(OR(K359="",E359=""),"",(K359-E359)/K359)</f>
        <v/>
      </c>
      <c r="V359" s="6">
        <f>IF(OR(M359="",E359=""),"",(M359-E359)/M359)</f>
        <v/>
      </c>
      <c r="W359" s="6">
        <f>IF(OR(O359="",E359=""),"",(O359-E359)/O359)</f>
        <v/>
      </c>
      <c r="X359" s="6">
        <f>IF(OR(Q359="",E359=""),"",(Q359-E359)/Q359)</f>
        <v/>
      </c>
      <c r="Y359" s="6">
        <f>IF(OR(S359="",E359=""),"",((S359*3500)-E359)/(S359*3500))</f>
        <v/>
      </c>
      <c r="Z359" s="7" t="n"/>
    </row>
    <row r="360">
      <c r="A360" s="2" t="inlineStr">
        <is>
          <t>SECRET GARDEN</t>
        </is>
      </c>
      <c r="B360" s="2" t="inlineStr">
        <is>
          <t>TOALLA SOUL</t>
        </is>
      </c>
      <c r="C360" s="2" t="inlineStr">
        <is>
          <t>26TO27/SUL</t>
        </is>
      </c>
      <c r="D360" s="2" t="n">
        <v>5000</v>
      </c>
      <c r="E360" s="3" t="n">
        <v>35704.62</v>
      </c>
      <c r="F360" s="4" t="n">
        <v>11926</v>
      </c>
      <c r="G360" s="3">
        <f>IF(OR(E360="",F360=""),"",E360+F360)</f>
        <v/>
      </c>
      <c r="H360" s="3" t="n">
        <v>56680.4378</v>
      </c>
      <c r="I360" s="3" t="n">
        <v>141701.0945</v>
      </c>
      <c r="J360" s="3" t="n">
        <v>89900</v>
      </c>
      <c r="K360" s="3" t="n">
        <v>41550.42016806723</v>
      </c>
      <c r="L360" s="5" t="n">
        <v>-0.1463330528870461</v>
      </c>
      <c r="M360" s="3" t="n">
        <v>52882.35294117647</v>
      </c>
      <c r="N360" s="5" t="n">
        <v>0.09930974416017789</v>
      </c>
      <c r="O360" s="3" t="n">
        <v>144443.32</v>
      </c>
      <c r="P360" s="5" t="n">
        <v>0.6702469868457746</v>
      </c>
      <c r="Q360" s="3" t="n">
        <v>101080</v>
      </c>
      <c r="R360" s="5" t="n">
        <v>0.5287829442026117</v>
      </c>
      <c r="S360" s="3" t="n">
        <v>98.8</v>
      </c>
      <c r="T360" s="5" t="n">
        <v>0.8731338695930109</v>
      </c>
      <c r="U360" s="6">
        <f>IF(OR(K360="",E360=""),"",(K360-E360)/K360)</f>
        <v/>
      </c>
      <c r="V360" s="6">
        <f>IF(OR(M360="",E360=""),"",(M360-E360)/M360)</f>
        <v/>
      </c>
      <c r="W360" s="6">
        <f>IF(OR(O360="",E360=""),"",(O360-E360)/O360)</f>
        <v/>
      </c>
      <c r="X360" s="6">
        <f>IF(OR(Q360="",E360=""),"",(Q360-E360)/Q360)</f>
        <v/>
      </c>
      <c r="Y360" s="6">
        <f>IF(OR(S360="",E360=""),"",((S360*3500)-E360)/(S360*3500))</f>
        <v/>
      </c>
      <c r="Z360" s="7" t="n"/>
    </row>
    <row r="361">
      <c r="A361" s="2" t="inlineStr">
        <is>
          <t>SECRET GARDEN</t>
        </is>
      </c>
      <c r="B361" s="2" t="inlineStr">
        <is>
          <t>SOUL MESH LONG DRESS</t>
        </is>
      </c>
      <c r="C361" s="2" t="inlineStr">
        <is>
          <t>26VE36/SUL</t>
        </is>
      </c>
      <c r="D361" s="2" t="n">
        <v>5000</v>
      </c>
      <c r="E361" s="3" t="n">
        <v>48425</v>
      </c>
      <c r="F361" s="4" t="n">
        <v>11926</v>
      </c>
      <c r="G361" s="3">
        <f>IF(OR(E361="",F361=""),"",E361+F361)</f>
        <v/>
      </c>
      <c r="H361" s="3" t="n">
        <v>71817.69</v>
      </c>
      <c r="I361" s="3" t="n">
        <v>179544.225</v>
      </c>
      <c r="J361" s="3" t="n">
        <v>169900</v>
      </c>
      <c r="K361" s="3" t="n">
        <v>78525.21008403362</v>
      </c>
      <c r="L361" s="5" t="n">
        <v>0.2314442720316764</v>
      </c>
      <c r="M361" s="3" t="n">
        <v>99941.17647058824</v>
      </c>
      <c r="N361" s="5" t="n">
        <v>0.3961347851677458</v>
      </c>
      <c r="O361" s="3" t="n">
        <v>182454.72</v>
      </c>
      <c r="P361" s="5" t="n">
        <v>0.669227521217319</v>
      </c>
      <c r="Q361" s="3" t="n">
        <v>127680</v>
      </c>
      <c r="R361" s="5" t="n">
        <v>0.5273261278195488</v>
      </c>
      <c r="S361" s="3" t="n">
        <v>124.8</v>
      </c>
      <c r="T361" s="5" t="n">
        <v>0.8727416497975709</v>
      </c>
      <c r="U361" s="6">
        <f>IF(OR(K361="",E361=""),"",(K361-E361)/K361)</f>
        <v/>
      </c>
      <c r="V361" s="6">
        <f>IF(OR(M361="",E361=""),"",(M361-E361)/M361)</f>
        <v/>
      </c>
      <c r="W361" s="6">
        <f>IF(OR(O361="",E361=""),"",(O361-E361)/O361)</f>
        <v/>
      </c>
      <c r="X361" s="6">
        <f>IF(OR(Q361="",E361=""),"",(Q361-E361)/Q361)</f>
        <v/>
      </c>
      <c r="Y361" s="6">
        <f>IF(OR(S361="",E361=""),"",((S361*3500)-E361)/(S361*3500))</f>
        <v/>
      </c>
      <c r="Z361" s="7" t="n"/>
    </row>
    <row r="362">
      <c r="A362" s="2" t="inlineStr">
        <is>
          <t>SECRET GARDEN</t>
        </is>
      </c>
      <c r="B362" s="2" t="inlineStr">
        <is>
          <t>SOUL MESH SHIRT</t>
        </is>
      </c>
      <c r="C362" s="2" t="inlineStr">
        <is>
          <t>26CA36/SUL</t>
        </is>
      </c>
      <c r="D362" s="2" t="n">
        <v>5000</v>
      </c>
      <c r="E362" s="3" t="n">
        <v>29596.27</v>
      </c>
      <c r="F362" s="4" t="n">
        <v>11926</v>
      </c>
      <c r="G362" s="3">
        <f>IF(OR(E362="",F362=""),"",E362+F362)</f>
        <v/>
      </c>
      <c r="H362" s="3" t="n">
        <v>49411.5013</v>
      </c>
      <c r="I362" s="3" t="n">
        <v>123528.75325</v>
      </c>
      <c r="J362" s="3" t="n">
        <v>129900</v>
      </c>
      <c r="K362" s="3" t="n">
        <v>60037.81512605043</v>
      </c>
      <c r="L362" s="5" t="n">
        <v>0.3083980502484429</v>
      </c>
      <c r="M362" s="3" t="n">
        <v>76411.76470588235</v>
      </c>
      <c r="N362" s="5" t="n">
        <v>0.4565984680523479</v>
      </c>
      <c r="O362" s="3" t="n">
        <v>144443.32</v>
      </c>
      <c r="P362" s="5" t="n">
        <v>0.7125358929717206</v>
      </c>
      <c r="Q362" s="3" t="n">
        <v>101080</v>
      </c>
      <c r="R362" s="5" t="n">
        <v>0.5892137910565888</v>
      </c>
      <c r="S362" s="3" t="n">
        <v>98.8</v>
      </c>
      <c r="T362" s="5" t="n">
        <v>0.8894037129767739</v>
      </c>
      <c r="U362" s="6">
        <f>IF(OR(K362="",E362=""),"",(K362-E362)/K362)</f>
        <v/>
      </c>
      <c r="V362" s="6">
        <f>IF(OR(M362="",E362=""),"",(M362-E362)/M362)</f>
        <v/>
      </c>
      <c r="W362" s="6">
        <f>IF(OR(O362="",E362=""),"",(O362-E362)/O362)</f>
        <v/>
      </c>
      <c r="X362" s="6">
        <f>IF(OR(Q362="",E362=""),"",(Q362-E362)/Q362)</f>
        <v/>
      </c>
      <c r="Y362" s="6">
        <f>IF(OR(S362="",E362=""),"",((S362*3500)-E362)/(S362*3500))</f>
        <v/>
      </c>
      <c r="Z362" s="7" t="n"/>
    </row>
    <row r="363">
      <c r="A363" s="2" t="inlineStr">
        <is>
          <t>SECRET GARDEN</t>
        </is>
      </c>
      <c r="B363" s="2" t="inlineStr">
        <is>
          <t>SOUL MESH LONG SHIRT</t>
        </is>
      </c>
      <c r="C363" s="2" t="inlineStr">
        <is>
          <t>26CA32/SUL</t>
        </is>
      </c>
      <c r="D363" s="2" t="n">
        <v>5000</v>
      </c>
      <c r="E363" s="3" t="n">
        <v>30552</v>
      </c>
      <c r="F363" s="4" t="n">
        <v>11926</v>
      </c>
      <c r="G363" s="3">
        <f>IF(OR(E363="",F363=""),"",E363+F363)</f>
        <v/>
      </c>
      <c r="H363" s="3" t="n">
        <v>50548.82</v>
      </c>
      <c r="I363" s="3" t="n">
        <v>126372.05</v>
      </c>
      <c r="J363" s="3" t="n">
        <v>119900</v>
      </c>
      <c r="K363" s="3" t="n">
        <v>55415.96638655462</v>
      </c>
      <c r="L363" s="5" t="n">
        <v>0.2334700128895292</v>
      </c>
      <c r="M363" s="3" t="n">
        <v>70529.41176470587</v>
      </c>
      <c r="N363" s="5" t="n">
        <v>0.3977264386989157</v>
      </c>
      <c r="O363" s="3" t="n">
        <v>136841.04</v>
      </c>
      <c r="P363" s="5" t="n">
        <v>0.6895814296646678</v>
      </c>
      <c r="Q363" s="3" t="n">
        <v>95760</v>
      </c>
      <c r="R363" s="5" t="n">
        <v>0.5564118629908104</v>
      </c>
      <c r="S363" s="3" t="n">
        <v>93.60000000000001</v>
      </c>
      <c r="T363" s="5" t="n">
        <v>0.8805724246513721</v>
      </c>
      <c r="U363" s="6">
        <f>IF(OR(K363="",E363=""),"",(K363-E363)/K363)</f>
        <v/>
      </c>
      <c r="V363" s="6">
        <f>IF(OR(M363="",E363=""),"",(M363-E363)/M363)</f>
        <v/>
      </c>
      <c r="W363" s="6">
        <f>IF(OR(O363="",E363=""),"",(O363-E363)/O363)</f>
        <v/>
      </c>
      <c r="X363" s="6">
        <f>IF(OR(Q363="",E363=""),"",(Q363-E363)/Q363)</f>
        <v/>
      </c>
      <c r="Y363" s="6">
        <f>IF(OR(S363="",E363=""),"",((S363*3500)-E363)/(S363*3500))</f>
        <v/>
      </c>
      <c r="Z363" s="7" t="n"/>
    </row>
    <row r="364">
      <c r="A364" s="2" t="inlineStr">
        <is>
          <t>SECRET GARDEN</t>
        </is>
      </c>
      <c r="B364" s="2" t="inlineStr">
        <is>
          <t>SOUL SHIRT</t>
        </is>
      </c>
      <c r="C364" s="2" t="inlineStr">
        <is>
          <t>26CA21/SUL</t>
        </is>
      </c>
      <c r="D364" s="2" t="n">
        <v>5000</v>
      </c>
      <c r="E364" s="3" t="n">
        <v>47099.20661111111</v>
      </c>
      <c r="F364" s="4" t="n">
        <v>11926</v>
      </c>
      <c r="G364" s="3">
        <f>IF(OR(E364="",F364=""),"",E364+F364)</f>
        <v/>
      </c>
      <c r="H364" s="3" t="n">
        <v>70239.99586722223</v>
      </c>
      <c r="I364" s="3" t="n">
        <v>175599.9896680555</v>
      </c>
      <c r="J364" s="3" t="n">
        <v>169900</v>
      </c>
      <c r="K364" s="3" t="n">
        <v>78525.21008403362</v>
      </c>
      <c r="L364" s="5" t="n">
        <v>0.2483279376400854</v>
      </c>
      <c r="M364" s="3" t="n">
        <v>99941.17647058824</v>
      </c>
      <c r="N364" s="5" t="n">
        <v>0.4094005224314957</v>
      </c>
      <c r="O364" s="3" t="n">
        <v>174852.44</v>
      </c>
      <c r="P364" s="5" t="n">
        <v>0.6624284647608514</v>
      </c>
      <c r="Q364" s="3" t="n">
        <v>122360</v>
      </c>
      <c r="R364" s="5" t="n">
        <v>0.5176102761432566</v>
      </c>
      <c r="S364" s="3" t="n">
        <v>119.6</v>
      </c>
      <c r="T364" s="5" t="n">
        <v>0.8701258435770306</v>
      </c>
      <c r="U364" s="6">
        <f>IF(OR(K364="",E364=""),"",(K364-E364)/K364)</f>
        <v/>
      </c>
      <c r="V364" s="6">
        <f>IF(OR(M364="",E364=""),"",(M364-E364)/M364)</f>
        <v/>
      </c>
      <c r="W364" s="6">
        <f>IF(OR(O364="",E364=""),"",(O364-E364)/O364)</f>
        <v/>
      </c>
      <c r="X364" s="6">
        <f>IF(OR(Q364="",E364=""),"",(Q364-E364)/Q364)</f>
        <v/>
      </c>
      <c r="Y364" s="6">
        <f>IF(OR(S364="",E364=""),"",((S364*3500)-E364)/(S364*3500))</f>
        <v/>
      </c>
      <c r="Z364" s="7" t="n"/>
    </row>
    <row r="365">
      <c r="A365" s="2" t="inlineStr">
        <is>
          <t>SECRET GARDEN</t>
        </is>
      </c>
      <c r="B365" s="2" t="inlineStr">
        <is>
          <t>SOUL WRAP SKORT</t>
        </is>
      </c>
      <c r="C365" s="2" t="inlineStr">
        <is>
          <t>26FA25/SUL</t>
        </is>
      </c>
      <c r="D365" s="2" t="n">
        <v>5000</v>
      </c>
      <c r="E365" s="3" t="n">
        <v>36274.27155172414</v>
      </c>
      <c r="F365" s="4" t="n">
        <v>11926</v>
      </c>
      <c r="G365" s="3">
        <f>IF(OR(E365="",F365=""),"",E365+F365)</f>
        <v/>
      </c>
      <c r="H365" s="3" t="n">
        <v>57358.32314655172</v>
      </c>
      <c r="I365" s="3" t="n">
        <v>143395.8078663793</v>
      </c>
      <c r="J365" s="3" t="n">
        <v>149900</v>
      </c>
      <c r="K365" s="3" t="n">
        <v>69281.51260504202</v>
      </c>
      <c r="L365" s="5" t="n">
        <v>0.3042837874152257</v>
      </c>
      <c r="M365" s="3" t="n">
        <v>88176.4705882353</v>
      </c>
      <c r="N365" s="5" t="n">
        <v>0.4533658329691059</v>
      </c>
      <c r="O365" s="3" t="n">
        <v>167250.16</v>
      </c>
      <c r="P365" s="5" t="n">
        <v>0.7118073217285762</v>
      </c>
      <c r="Q365" s="3" t="n">
        <v>117040</v>
      </c>
      <c r="R365" s="5" t="n">
        <v>0.5881726627501356</v>
      </c>
      <c r="S365" s="3" t="n">
        <v>114.4</v>
      </c>
      <c r="T365" s="5" t="n">
        <v>0.8891234092019596</v>
      </c>
      <c r="U365" s="6">
        <f>IF(OR(K365="",E365=""),"",(K365-E365)/K365)</f>
        <v/>
      </c>
      <c r="V365" s="6">
        <f>IF(OR(M365="",E365=""),"",(M365-E365)/M365)</f>
        <v/>
      </c>
      <c r="W365" s="6">
        <f>IF(OR(O365="",E365=""),"",(O365-E365)/O365)</f>
        <v/>
      </c>
      <c r="X365" s="6">
        <f>IF(OR(Q365="",E365=""),"",(Q365-E365)/Q365)</f>
        <v/>
      </c>
      <c r="Y365" s="6">
        <f>IF(OR(S365="",E365=""),"",((S365*3500)-E365)/(S365*3500))</f>
        <v/>
      </c>
      <c r="Z365" s="7" t="n"/>
    </row>
    <row r="366">
      <c r="A366" s="2" t="inlineStr">
        <is>
          <t>SECRET GARDEN</t>
        </is>
      </c>
      <c r="B366" s="2" t="inlineStr">
        <is>
          <t>SOUL SLEEP SLEEVELESS SHIRT</t>
        </is>
      </c>
      <c r="C366" s="2" t="inlineStr">
        <is>
          <t>264124/SUL</t>
        </is>
      </c>
      <c r="D366" s="2" t="n">
        <v>5000</v>
      </c>
      <c r="E366" s="3" t="n">
        <v>18336.66</v>
      </c>
      <c r="F366" s="4" t="n">
        <v>11926</v>
      </c>
      <c r="G366" s="3">
        <f>IF(OR(E366="",F366=""),"",E366+F366)</f>
        <v/>
      </c>
      <c r="H366" s="3" t="n">
        <v>36012.5654</v>
      </c>
      <c r="I366" s="3" t="n">
        <v>90031.4135</v>
      </c>
      <c r="J366" s="3" t="n">
        <v>89950</v>
      </c>
      <c r="K366" s="3" t="n">
        <v>41573.52941176471</v>
      </c>
      <c r="L366" s="5" t="n">
        <v>0.2720690201627168</v>
      </c>
      <c r="M366" s="3" t="n">
        <v>52911.76470588235</v>
      </c>
      <c r="N366" s="5" t="n">
        <v>0.4280542301278488</v>
      </c>
      <c r="O366" s="3" t="n">
        <v>49414.82</v>
      </c>
      <c r="P366" s="5" t="n">
        <v>0.3875792727768714</v>
      </c>
      <c r="Q366" s="3" t="n">
        <v>34580</v>
      </c>
      <c r="R366" s="5" t="n">
        <v>0.1248507807981492</v>
      </c>
      <c r="S366" s="3" t="n">
        <v>33.8</v>
      </c>
      <c r="T366" s="5" t="n">
        <v>0.7643829025225787</v>
      </c>
      <c r="U366" s="6">
        <f>IF(OR(K366="",E366=""),"",(K366-E366)/K366)</f>
        <v/>
      </c>
      <c r="V366" s="6">
        <f>IF(OR(M366="",E366=""),"",(M366-E366)/M366)</f>
        <v/>
      </c>
      <c r="W366" s="6">
        <f>IF(OR(O366="",E366=""),"",(O366-E366)/O366)</f>
        <v/>
      </c>
      <c r="X366" s="6">
        <f>IF(OR(Q366="",E366=""),"",(Q366-E366)/Q366)</f>
        <v/>
      </c>
      <c r="Y366" s="6">
        <f>IF(OR(S366="",E366=""),"",((S366*3500)-E366)/(S366*3500))</f>
        <v/>
      </c>
      <c r="Z366" s="7" t="n"/>
    </row>
    <row r="367">
      <c r="A367" s="2" t="inlineStr">
        <is>
          <t>SECRET GARDEN</t>
        </is>
      </c>
      <c r="B367" s="2" t="inlineStr">
        <is>
          <t>SOUL SLEEP SHORT</t>
        </is>
      </c>
      <c r="C367" s="2" t="inlineStr">
        <is>
          <t>264222/SUL</t>
        </is>
      </c>
      <c r="D367" s="2" t="n">
        <v>5000</v>
      </c>
      <c r="E367" s="3" t="n">
        <v>18737.81</v>
      </c>
      <c r="F367" s="4" t="n">
        <v>11926</v>
      </c>
      <c r="G367" s="3">
        <f>IF(OR(E367="",F367=""),"",E367+F367)</f>
        <v/>
      </c>
      <c r="H367" s="3" t="n">
        <v>36489.9339</v>
      </c>
      <c r="I367" s="3" t="n">
        <v>91224.83474999999</v>
      </c>
      <c r="J367" s="3" t="n">
        <v>89950</v>
      </c>
      <c r="K367" s="3" t="n">
        <v>41573.52941176471</v>
      </c>
      <c r="L367" s="5" t="n">
        <v>0.2624198514326142</v>
      </c>
      <c r="M367" s="3" t="n">
        <v>52911.76470588235</v>
      </c>
      <c r="N367" s="5" t="n">
        <v>0.4204727404113396</v>
      </c>
      <c r="O367" s="3" t="n">
        <v>49414.82</v>
      </c>
      <c r="P367" s="5" t="n">
        <v>0.3794612628357242</v>
      </c>
      <c r="Q367" s="3" t="n">
        <v>34580</v>
      </c>
      <c r="R367" s="5" t="n">
        <v>0.1132501445922498</v>
      </c>
      <c r="S367" s="3" t="n">
        <v>33.8</v>
      </c>
      <c r="T367" s="5" t="n">
        <v>0.7612596543132981</v>
      </c>
      <c r="U367" s="6">
        <f>IF(OR(K367="",E367=""),"",(K367-E367)/K367)</f>
        <v/>
      </c>
      <c r="V367" s="6">
        <f>IF(OR(M367="",E367=""),"",(M367-E367)/M367)</f>
        <v/>
      </c>
      <c r="W367" s="6">
        <f>IF(OR(O367="",E367=""),"",(O367-E367)/O367)</f>
        <v/>
      </c>
      <c r="X367" s="6">
        <f>IF(OR(Q367="",E367=""),"",(Q367-E367)/Q367)</f>
        <v/>
      </c>
      <c r="Y367" s="6">
        <f>IF(OR(S367="",E367=""),"",((S367*3500)-E367)/(S367*3500))</f>
        <v/>
      </c>
      <c r="Z367" s="7" t="n"/>
    </row>
    <row r="368">
      <c r="A368" s="2" t="inlineStr">
        <is>
          <t>SECRET GARDEN</t>
        </is>
      </c>
      <c r="B368" s="2" t="inlineStr">
        <is>
          <t>SOUL SLEEP LONG SHIRT</t>
        </is>
      </c>
      <c r="C368" s="2" t="inlineStr">
        <is>
          <t>264121/SUL</t>
        </is>
      </c>
      <c r="D368" s="2" t="n">
        <v>5000</v>
      </c>
      <c r="E368" s="3" t="n">
        <v>32611.31</v>
      </c>
      <c r="F368" s="4" t="n">
        <v>11926</v>
      </c>
      <c r="G368" s="3">
        <f>IF(OR(E368="",F368=""),"",E368+F368)</f>
        <v/>
      </c>
      <c r="H368" s="3" t="n">
        <v>52999.39889999999</v>
      </c>
      <c r="I368" s="3" t="n">
        <v>132498.49725</v>
      </c>
      <c r="J368" s="3" t="n">
        <v>99950</v>
      </c>
      <c r="K368" s="3" t="n">
        <v>46195.37815126051</v>
      </c>
      <c r="L368" s="5" t="n">
        <v>0.03589251171040089</v>
      </c>
      <c r="M368" s="3" t="n">
        <v>58794.11764705882</v>
      </c>
      <c r="N368" s="5" t="n">
        <v>0.2424869734867433</v>
      </c>
      <c r="O368" s="3" t="n">
        <v>64619.37999999999</v>
      </c>
      <c r="P368" s="5" t="n">
        <v>0.310774724239075</v>
      </c>
      <c r="Q368" s="3" t="n">
        <v>45219.99999999999</v>
      </c>
      <c r="R368" s="5" t="n">
        <v>0.01509708093763811</v>
      </c>
      <c r="S368" s="3" t="n">
        <v>44.2</v>
      </c>
      <c r="T368" s="5" t="n">
        <v>0.7348338294832103</v>
      </c>
      <c r="U368" s="6">
        <f>IF(OR(K368="",E368=""),"",(K368-E368)/K368)</f>
        <v/>
      </c>
      <c r="V368" s="6">
        <f>IF(OR(M368="",E368=""),"",(M368-E368)/M368)</f>
        <v/>
      </c>
      <c r="W368" s="6">
        <f>IF(OR(O368="",E368=""),"",(O368-E368)/O368)</f>
        <v/>
      </c>
      <c r="X368" s="6">
        <f>IF(OR(Q368="",E368=""),"",(Q368-E368)/Q368)</f>
        <v/>
      </c>
      <c r="Y368" s="6">
        <f>IF(OR(S368="",E368=""),"",((S368*3500)-E368)/(S368*3500))</f>
        <v/>
      </c>
      <c r="Z368" s="7" t="n"/>
    </row>
    <row r="369">
      <c r="A369" s="2" t="inlineStr">
        <is>
          <t>SECRET GARDEN</t>
        </is>
      </c>
      <c r="B369" s="2" t="inlineStr">
        <is>
          <t>SOUL SLEEP PANTS</t>
        </is>
      </c>
      <c r="C369" s="2" t="inlineStr">
        <is>
          <t>264323/SUL</t>
        </is>
      </c>
      <c r="D369" s="2" t="n">
        <v>5000</v>
      </c>
      <c r="E369" s="3" t="n">
        <v>28786.53</v>
      </c>
      <c r="F369" s="4" t="n">
        <v>11926</v>
      </c>
      <c r="G369" s="3">
        <f>IF(OR(E369="",F369=""),"",E369+F369)</f>
        <v/>
      </c>
      <c r="H369" s="3" t="n">
        <v>48447.91069999999</v>
      </c>
      <c r="I369" s="3" t="n">
        <v>121119.77675</v>
      </c>
      <c r="J369" s="3" t="n">
        <v>99950</v>
      </c>
      <c r="K369" s="3" t="n">
        <v>46195.37815126051</v>
      </c>
      <c r="L369" s="5" t="n">
        <v>0.1186882404838785</v>
      </c>
      <c r="M369" s="3" t="n">
        <v>58794.11764705882</v>
      </c>
      <c r="N369" s="5" t="n">
        <v>0.3075407603801901</v>
      </c>
      <c r="O369" s="3" t="n">
        <v>57017.1</v>
      </c>
      <c r="P369" s="5" t="n">
        <v>0.2859592999293195</v>
      </c>
      <c r="Q369" s="3" t="n">
        <v>39900</v>
      </c>
      <c r="R369" s="5" t="n">
        <v>-0.02036416040100248</v>
      </c>
      <c r="S369" s="3" t="n">
        <v>39</v>
      </c>
      <c r="T369" s="5" t="n">
        <v>0.7252865721997301</v>
      </c>
      <c r="U369" s="6">
        <f>IF(OR(K369="",E369=""),"",(K369-E369)/K369)</f>
        <v/>
      </c>
      <c r="V369" s="6">
        <f>IF(OR(M369="",E369=""),"",(M369-E369)/M369)</f>
        <v/>
      </c>
      <c r="W369" s="6">
        <f>IF(OR(O369="",E369=""),"",(O369-E369)/O369)</f>
        <v/>
      </c>
      <c r="X369" s="6">
        <f>IF(OR(Q369="",E369=""),"",(Q369-E369)/Q369)</f>
        <v/>
      </c>
      <c r="Y369" s="6">
        <f>IF(OR(S369="",E369=""),"",((S369*3500)-E369)/(S369*3500))</f>
        <v/>
      </c>
      <c r="Z369" s="7" t="n"/>
    </row>
    <row r="370">
      <c r="A370" s="2" t="inlineStr">
        <is>
          <t>SECRET GARDEN</t>
        </is>
      </c>
      <c r="B370" s="2" t="inlineStr">
        <is>
          <t>SOUL SLEEP SHORT SLEEVELESS SHIRT</t>
        </is>
      </c>
      <c r="C370" s="2" t="inlineStr">
        <is>
          <t>264125/SUL</t>
        </is>
      </c>
      <c r="D370" s="2" t="n">
        <v>5000</v>
      </c>
      <c r="E370" s="3" t="n">
        <v>21807.84375</v>
      </c>
      <c r="F370" s="4" t="n">
        <v>11926</v>
      </c>
      <c r="G370" s="3">
        <f>IF(OR(E370="",F370=""),"",E370+F370)</f>
        <v/>
      </c>
      <c r="H370" s="3" t="n">
        <v>40143.2740625</v>
      </c>
      <c r="I370" s="3" t="n">
        <v>100358.18515625</v>
      </c>
      <c r="J370" s="3" t="n">
        <v>94950</v>
      </c>
      <c r="K370" s="3" t="n">
        <v>43884.45378151261</v>
      </c>
      <c r="L370" s="5" t="n">
        <v>0.2313030961271483</v>
      </c>
      <c r="M370" s="3" t="n">
        <v>55852.94117647059</v>
      </c>
      <c r="N370" s="5" t="n">
        <v>0.3960238612427593</v>
      </c>
      <c r="O370" s="3" t="n">
        <v>57017.1</v>
      </c>
      <c r="P370" s="5" t="n">
        <v>0.4083556731226246</v>
      </c>
      <c r="Q370" s="3" t="n">
        <v>39900</v>
      </c>
      <c r="R370" s="5" t="n">
        <v>0.1545402568922306</v>
      </c>
      <c r="S370" s="3" t="n">
        <v>39</v>
      </c>
      <c r="T370" s="5" t="n">
        <v>0.7723762230094466</v>
      </c>
      <c r="U370" s="6">
        <f>IF(OR(K370="",E370=""),"",(K370-E370)/K370)</f>
        <v/>
      </c>
      <c r="V370" s="6">
        <f>IF(OR(M370="",E370=""),"",(M370-E370)/M370)</f>
        <v/>
      </c>
      <c r="W370" s="6">
        <f>IF(OR(O370="",E370=""),"",(O370-E370)/O370)</f>
        <v/>
      </c>
      <c r="X370" s="6">
        <f>IF(OR(Q370="",E370=""),"",(Q370-E370)/Q370)</f>
        <v/>
      </c>
      <c r="Y370" s="6">
        <f>IF(OR(S370="",E370=""),"",((S370*3500)-E370)/(S370*3500))</f>
        <v/>
      </c>
      <c r="Z370" s="7" t="n"/>
    </row>
    <row r="371">
      <c r="A371" s="2" t="inlineStr">
        <is>
          <t>SECRET GARDEN</t>
        </is>
      </c>
      <c r="B371" s="2" t="inlineStr">
        <is>
          <t>SYMBOLS TRIANGLE TOP</t>
        </is>
      </c>
      <c r="C371" s="2" t="inlineStr">
        <is>
          <t>263135/SYMW</t>
        </is>
      </c>
      <c r="D371" s="2" t="n">
        <v>5000</v>
      </c>
      <c r="E371" s="3" t="n">
        <v>23661.8475421436</v>
      </c>
      <c r="F371" s="4" t="n">
        <v>11926</v>
      </c>
      <c r="G371" s="3">
        <f>IF(OR(E371="",F371=""),"",E371+F371)</f>
        <v/>
      </c>
      <c r="H371" s="3" t="n">
        <v>42349.53857515088</v>
      </c>
      <c r="I371" s="3" t="n">
        <v>105873.8464378772</v>
      </c>
      <c r="J371" s="3" t="n">
        <v>109900</v>
      </c>
      <c r="K371" s="3" t="n">
        <v>50794.11764705883</v>
      </c>
      <c r="L371" s="5" t="n">
        <v>0.2993706911216663</v>
      </c>
      <c r="M371" s="3" t="n">
        <v>64647.05882352941</v>
      </c>
      <c r="N371" s="5" t="n">
        <v>0.4495055430241662</v>
      </c>
      <c r="O371" s="3" t="n">
        <v>98829.64</v>
      </c>
      <c r="P371" s="5" t="n">
        <v>0.6399071418033739</v>
      </c>
      <c r="Q371" s="3" t="n">
        <v>69160</v>
      </c>
      <c r="R371" s="5" t="n">
        <v>0.4854273056370214</v>
      </c>
      <c r="S371" s="3" t="n">
        <v>67.60000000000001</v>
      </c>
      <c r="T371" s="5" t="n">
        <v>0.8614611976715058</v>
      </c>
      <c r="U371" s="6">
        <f>IF(OR(K371="",E371=""),"",(K371-E371)/K371)</f>
        <v/>
      </c>
      <c r="V371" s="6">
        <f>IF(OR(M371="",E371=""),"",(M371-E371)/M371)</f>
        <v/>
      </c>
      <c r="W371" s="6">
        <f>IF(OR(O371="",E371=""),"",(O371-E371)/O371)</f>
        <v/>
      </c>
      <c r="X371" s="6">
        <f>IF(OR(Q371="",E371=""),"",(Q371-E371)/Q371)</f>
        <v/>
      </c>
      <c r="Y371" s="6">
        <f>IF(OR(S371="",E371=""),"",((S371*3500)-E371)/(S371*3500))</f>
        <v/>
      </c>
      <c r="Z371" s="7" t="n"/>
    </row>
    <row r="372">
      <c r="A372" s="2" t="inlineStr">
        <is>
          <t>SECRET GARDEN</t>
        </is>
      </c>
      <c r="B372" s="2" t="inlineStr">
        <is>
          <t>SYMBOLS STRAP TIE SIDE BOTTOM</t>
        </is>
      </c>
      <c r="C372" s="2" t="inlineStr">
        <is>
          <t>263236/SYMW</t>
        </is>
      </c>
      <c r="D372" s="2" t="n">
        <v>5000</v>
      </c>
      <c r="E372" s="3" t="n">
        <v>28313.72014151925</v>
      </c>
      <c r="F372" s="4" t="n">
        <v>11926</v>
      </c>
      <c r="G372" s="3">
        <f>IF(OR(E372="",F372=""),"",E372+F372)</f>
        <v/>
      </c>
      <c r="H372" s="3" t="n">
        <v>47885.26696840791</v>
      </c>
      <c r="I372" s="3" t="n">
        <v>119713.1674210198</v>
      </c>
      <c r="J372" s="3" t="n">
        <v>119900</v>
      </c>
      <c r="K372" s="3" t="n">
        <v>55415.96638655462</v>
      </c>
      <c r="L372" s="5" t="n">
        <v>0.2738605357736309</v>
      </c>
      <c r="M372" s="3" t="n">
        <v>70529.41176470587</v>
      </c>
      <c r="N372" s="5" t="n">
        <v>0.4294618495364242</v>
      </c>
      <c r="O372" s="3" t="n">
        <v>98829.64</v>
      </c>
      <c r="P372" s="5" t="n">
        <v>0.5928375319234265</v>
      </c>
      <c r="Q372" s="3" t="n">
        <v>69160</v>
      </c>
      <c r="R372" s="5" t="n">
        <v>0.4181648331185764</v>
      </c>
      <c r="S372" s="3" t="n">
        <v>67.60000000000001</v>
      </c>
      <c r="T372" s="5" t="n">
        <v>0.8433520704550014</v>
      </c>
      <c r="U372" s="6">
        <f>IF(OR(K372="",E372=""),"",(K372-E372)/K372)</f>
        <v/>
      </c>
      <c r="V372" s="6">
        <f>IF(OR(M372="",E372=""),"",(M372-E372)/M372)</f>
        <v/>
      </c>
      <c r="W372" s="6">
        <f>IF(OR(O372="",E372=""),"",(O372-E372)/O372)</f>
        <v/>
      </c>
      <c r="X372" s="6">
        <f>IF(OR(Q372="",E372=""),"",(Q372-E372)/Q372)</f>
        <v/>
      </c>
      <c r="Y372" s="6">
        <f>IF(OR(S372="",E372=""),"",((S372*3500)-E372)/(S372*3500))</f>
        <v/>
      </c>
      <c r="Z372" s="7" t="n"/>
    </row>
    <row r="373">
      <c r="A373" s="2" t="inlineStr">
        <is>
          <t>SECRET GARDEN</t>
        </is>
      </c>
      <c r="B373" s="2" t="inlineStr">
        <is>
          <t>SYMBOLS RUCHED STRAIGHT TOP</t>
        </is>
      </c>
      <c r="C373" s="2" t="inlineStr">
        <is>
          <t>263175/SYMG</t>
        </is>
      </c>
      <c r="D373" s="2" t="n">
        <v>5000</v>
      </c>
      <c r="E373" s="3" t="n">
        <v>32066.0254</v>
      </c>
      <c r="F373" s="4" t="n">
        <v>11926</v>
      </c>
      <c r="G373" s="3">
        <f>IF(OR(E373="",F373=""),"",E373+F373)</f>
        <v/>
      </c>
      <c r="H373" s="3" t="n">
        <v>52350.510226</v>
      </c>
      <c r="I373" s="3" t="n">
        <v>130876.275565</v>
      </c>
      <c r="J373" s="3" t="n">
        <v>129900</v>
      </c>
      <c r="K373" s="3" t="n">
        <v>60037.81512605043</v>
      </c>
      <c r="L373" s="5" t="n">
        <v>0.2672613867170552</v>
      </c>
      <c r="M373" s="3" t="n">
        <v>76411.76470588235</v>
      </c>
      <c r="N373" s="5" t="n">
        <v>0.4242768038491147</v>
      </c>
      <c r="O373" s="3" t="n">
        <v>106431.92</v>
      </c>
      <c r="P373" s="5" t="n">
        <v>0.5866651151271159</v>
      </c>
      <c r="Q373" s="3" t="n">
        <v>74479.99999999999</v>
      </c>
      <c r="R373" s="5" t="n">
        <v>0.4093444495166487</v>
      </c>
      <c r="S373" s="3" t="n">
        <v>72.8</v>
      </c>
      <c r="T373" s="5" t="n">
        <v>0.840977351792944</v>
      </c>
      <c r="U373" s="6">
        <f>IF(OR(K373="",E373=""),"",(K373-E373)/K373)</f>
        <v/>
      </c>
      <c r="V373" s="6">
        <f>IF(OR(M373="",E373=""),"",(M373-E373)/M373)</f>
        <v/>
      </c>
      <c r="W373" s="6">
        <f>IF(OR(O373="",E373=""),"",(O373-E373)/O373)</f>
        <v/>
      </c>
      <c r="X373" s="6">
        <f>IF(OR(Q373="",E373=""),"",(Q373-E373)/Q373)</f>
        <v/>
      </c>
      <c r="Y373" s="6">
        <f>IF(OR(S373="",E373=""),"",((S373*3500)-E373)/(S373*3500))</f>
        <v/>
      </c>
      <c r="Z373" s="7" t="n"/>
    </row>
    <row r="374">
      <c r="A374" s="2" t="inlineStr">
        <is>
          <t>SECRET GARDEN</t>
        </is>
      </c>
      <c r="B374" s="2" t="inlineStr">
        <is>
          <t>SYMBOLS HIGH WAIST BOTTOM</t>
        </is>
      </c>
      <c r="C374" s="2" t="inlineStr">
        <is>
          <t>263223/SYMG</t>
        </is>
      </c>
      <c r="D374" s="2" t="n">
        <v>5000</v>
      </c>
      <c r="E374" s="3" t="n">
        <v>24481.53230769231</v>
      </c>
      <c r="F374" s="4" t="n">
        <v>11926</v>
      </c>
      <c r="G374" s="3">
        <f>IF(OR(E374="",F374=""),"",E374+F374)</f>
        <v/>
      </c>
      <c r="H374" s="3" t="n">
        <v>43324.96344615384</v>
      </c>
      <c r="I374" s="3" t="n">
        <v>108312.4086153846</v>
      </c>
      <c r="J374" s="3" t="n">
        <v>109900</v>
      </c>
      <c r="K374" s="3" t="n">
        <v>50794.11764705883</v>
      </c>
      <c r="L374" s="5" t="n">
        <v>0.2832332956215759</v>
      </c>
      <c r="M374" s="3" t="n">
        <v>64647.05882352941</v>
      </c>
      <c r="N374" s="5" t="n">
        <v>0.4368261608455238</v>
      </c>
      <c r="O374" s="3" t="n">
        <v>98829.64</v>
      </c>
      <c r="P374" s="5" t="n">
        <v>0.631613225468672</v>
      </c>
      <c r="Q374" s="3" t="n">
        <v>69160</v>
      </c>
      <c r="R374" s="5" t="n">
        <v>0.4735752991947324</v>
      </c>
      <c r="S374" s="3" t="n">
        <v>67.60000000000001</v>
      </c>
      <c r="T374" s="5" t="n">
        <v>0.8582702728601203</v>
      </c>
      <c r="U374" s="6">
        <f>IF(OR(K374="",E374=""),"",(K374-E374)/K374)</f>
        <v/>
      </c>
      <c r="V374" s="6">
        <f>IF(OR(M374="",E374=""),"",(M374-E374)/M374)</f>
        <v/>
      </c>
      <c r="W374" s="6">
        <f>IF(OR(O374="",E374=""),"",(O374-E374)/O374)</f>
        <v/>
      </c>
      <c r="X374" s="6">
        <f>IF(OR(Q374="",E374=""),"",(Q374-E374)/Q374)</f>
        <v/>
      </c>
      <c r="Y374" s="6">
        <f>IF(OR(S374="",E374=""),"",((S374*3500)-E374)/(S374*3500))</f>
        <v/>
      </c>
      <c r="Z374" s="7" t="n"/>
    </row>
    <row r="375">
      <c r="A375" s="2" t="inlineStr">
        <is>
          <t>SECRET GARDEN</t>
        </is>
      </c>
      <c r="B375" s="2" t="inlineStr">
        <is>
          <t>SYMBOLS UNDERWIRE ONE PIECE</t>
        </is>
      </c>
      <c r="C375" s="2" t="inlineStr">
        <is>
          <t>263341/SYMW</t>
        </is>
      </c>
      <c r="D375" s="2" t="n">
        <v>5000</v>
      </c>
      <c r="E375" s="3" t="n">
        <v>49820.17444444444</v>
      </c>
      <c r="F375" s="4" t="n">
        <v>11926</v>
      </c>
      <c r="G375" s="3">
        <f>IF(OR(E375="",F375=""),"",E375+F375)</f>
        <v/>
      </c>
      <c r="H375" s="3" t="n">
        <v>73477.94758888888</v>
      </c>
      <c r="I375" s="3" t="n">
        <v>183694.8689722222</v>
      </c>
      <c r="J375" s="3" t="n">
        <v>199900</v>
      </c>
      <c r="K375" s="3" t="n">
        <v>92390.75630252103</v>
      </c>
      <c r="L375" s="5" t="n">
        <v>0.331684500533095</v>
      </c>
      <c r="M375" s="3" t="n">
        <v>117588.2352941176</v>
      </c>
      <c r="N375" s="5" t="n">
        <v>0.4748949647045745</v>
      </c>
      <c r="O375" s="3" t="n">
        <v>190057</v>
      </c>
      <c r="P375" s="5" t="n">
        <v>0.6751175992231571</v>
      </c>
      <c r="Q375" s="3" t="n">
        <v>133000</v>
      </c>
      <c r="R375" s="5" t="n">
        <v>0.5357430492898914</v>
      </c>
      <c r="S375" s="3" t="n">
        <v>130</v>
      </c>
      <c r="T375" s="5" t="n">
        <v>0.8750077440395861</v>
      </c>
      <c r="U375" s="6">
        <f>IF(OR(K375="",E375=""),"",(K375-E375)/K375)</f>
        <v/>
      </c>
      <c r="V375" s="6">
        <f>IF(OR(M375="",E375=""),"",(M375-E375)/M375)</f>
        <v/>
      </c>
      <c r="W375" s="6">
        <f>IF(OR(O375="",E375=""),"",(O375-E375)/O375)</f>
        <v/>
      </c>
      <c r="X375" s="6">
        <f>IF(OR(Q375="",E375=""),"",(Q375-E375)/Q375)</f>
        <v/>
      </c>
      <c r="Y375" s="6">
        <f>IF(OR(S375="",E375=""),"",((S375*3500)-E375)/(S375*3500))</f>
        <v/>
      </c>
      <c r="Z375" s="7" t="n"/>
    </row>
    <row r="376">
      <c r="A376" s="2" t="inlineStr">
        <is>
          <t>SECRET GARDEN</t>
        </is>
      </c>
      <c r="B376" s="2" t="inlineStr">
        <is>
          <t>SYMBOLS ONE SHOULDER ONE PIECE</t>
        </is>
      </c>
      <c r="C376" s="2" t="inlineStr">
        <is>
          <t>263326/SYMG</t>
        </is>
      </c>
      <c r="D376" s="2" t="n">
        <v>5000</v>
      </c>
      <c r="E376" s="3" t="n">
        <v>50818.26518928901</v>
      </c>
      <c r="F376" s="4" t="n">
        <v>11926</v>
      </c>
      <c r="G376" s="3">
        <f>IF(OR(E376="",F376=""),"",E376+F376)</f>
        <v/>
      </c>
      <c r="H376" s="3" t="n">
        <v>74665.67557525392</v>
      </c>
      <c r="I376" s="3" t="n">
        <v>186664.1889381348</v>
      </c>
      <c r="J376" s="3" t="n">
        <v>199900</v>
      </c>
      <c r="K376" s="3" t="n">
        <v>92390.75630252103</v>
      </c>
      <c r="L376" s="5" t="n">
        <v>0.3208815719200154</v>
      </c>
      <c r="M376" s="3" t="n">
        <v>117588.2352941176</v>
      </c>
      <c r="N376" s="5" t="n">
        <v>0.4664069493657262</v>
      </c>
      <c r="O376" s="3" t="n">
        <v>197659.28</v>
      </c>
      <c r="P376" s="5" t="n">
        <v>0.6825635245191168</v>
      </c>
      <c r="Q376" s="3" t="n">
        <v>138320</v>
      </c>
      <c r="R376" s="5" t="n">
        <v>0.546383276537818</v>
      </c>
      <c r="S376" s="3" t="n">
        <v>135.2</v>
      </c>
      <c r="T376" s="5" t="n">
        <v>0.8778724206063356</v>
      </c>
      <c r="U376" s="6">
        <f>IF(OR(K376="",E376=""),"",(K376-E376)/K376)</f>
        <v/>
      </c>
      <c r="V376" s="6">
        <f>IF(OR(M376="",E376=""),"",(M376-E376)/M376)</f>
        <v/>
      </c>
      <c r="W376" s="6">
        <f>IF(OR(O376="",E376=""),"",(O376-E376)/O376)</f>
        <v/>
      </c>
      <c r="X376" s="6">
        <f>IF(OR(Q376="",E376=""),"",(Q376-E376)/Q376)</f>
        <v/>
      </c>
      <c r="Y376" s="6">
        <f>IF(OR(S376="",E376=""),"",((S376*3500)-E376)/(S376*3500))</f>
        <v/>
      </c>
      <c r="Z376" s="7" t="n"/>
    </row>
    <row r="377">
      <c r="A377" s="2" t="inlineStr">
        <is>
          <t>SECRET GARDEN</t>
        </is>
      </c>
      <c r="B377" s="2" t="inlineStr">
        <is>
          <t>SYMBOLS PAREO</t>
        </is>
      </c>
      <c r="C377" s="2" t="inlineStr">
        <is>
          <t>26RE22/SYMW</t>
        </is>
      </c>
      <c r="D377" s="2" t="n">
        <v>5000</v>
      </c>
      <c r="E377" s="3" t="n">
        <v>31861.02857142857</v>
      </c>
      <c r="F377" s="4" t="n">
        <v>11926</v>
      </c>
      <c r="G377" s="3">
        <f>IF(OR(E377="",F377=""),"",E377+F377)</f>
        <v/>
      </c>
      <c r="H377" s="3" t="n">
        <v>52106.564</v>
      </c>
      <c r="I377" s="3" t="n">
        <v>130266.41</v>
      </c>
      <c r="J377" s="3" t="n">
        <v>139900</v>
      </c>
      <c r="K377" s="3" t="n">
        <v>64659.66386554623</v>
      </c>
      <c r="L377" s="5" t="n">
        <v>0.322807667814673</v>
      </c>
      <c r="M377" s="3" t="n">
        <v>82294.11764705883</v>
      </c>
      <c r="N377" s="5" t="n">
        <v>0.4679203104258144</v>
      </c>
      <c r="O377" s="3" t="n">
        <v>136841.04</v>
      </c>
      <c r="P377" s="5" t="n">
        <v>0.6800153771746504</v>
      </c>
      <c r="Q377" s="3" t="n">
        <v>95760</v>
      </c>
      <c r="R377" s="5" t="n">
        <v>0.5427419739825755</v>
      </c>
      <c r="S377" s="3" t="n">
        <v>93.60000000000001</v>
      </c>
      <c r="T377" s="5" t="n">
        <v>0.8768920699183858</v>
      </c>
      <c r="U377" s="6">
        <f>IF(OR(K377="",E377=""),"",(K377-E377)/K377)</f>
        <v/>
      </c>
      <c r="V377" s="6">
        <f>IF(OR(M377="",E377=""),"",(M377-E377)/M377)</f>
        <v/>
      </c>
      <c r="W377" s="6">
        <f>IF(OR(O377="",E377=""),"",(O377-E377)/O377)</f>
        <v/>
      </c>
      <c r="X377" s="6">
        <f>IF(OR(Q377="",E377=""),"",(Q377-E377)/Q377)</f>
        <v/>
      </c>
      <c r="Y377" s="6">
        <f>IF(OR(S377="",E377=""),"",((S377*3500)-E377)/(S377*3500))</f>
        <v/>
      </c>
      <c r="Z377" s="7" t="n"/>
    </row>
    <row r="378">
      <c r="A378" s="2" t="inlineStr">
        <is>
          <t>SECRET GARDEN</t>
        </is>
      </c>
      <c r="B378" s="2" t="inlineStr">
        <is>
          <t>TOALLA SYMBOLS</t>
        </is>
      </c>
      <c r="C378" s="2" t="inlineStr">
        <is>
          <t>26TO27/SYMW</t>
        </is>
      </c>
      <c r="D378" s="2" t="n">
        <v>5000</v>
      </c>
      <c r="E378" s="3" t="n">
        <v>35704.62</v>
      </c>
      <c r="F378" s="4" t="n">
        <v>11926</v>
      </c>
      <c r="G378" s="3">
        <f>IF(OR(E378="",F378=""),"",E378+F378)</f>
        <v/>
      </c>
      <c r="H378" s="3" t="n">
        <v>56680.4378</v>
      </c>
      <c r="I378" s="3" t="n">
        <v>141701.0945</v>
      </c>
      <c r="J378" s="3" t="n">
        <v>89900</v>
      </c>
      <c r="K378" s="3" t="n">
        <v>41550.42016806723</v>
      </c>
      <c r="L378" s="5" t="n">
        <v>-0.1463330528870461</v>
      </c>
      <c r="M378" s="3" t="n">
        <v>52882.35294117647</v>
      </c>
      <c r="N378" s="5" t="n">
        <v>0.09930974416017789</v>
      </c>
      <c r="O378" s="3" t="n">
        <v>144443.32</v>
      </c>
      <c r="P378" s="5" t="n">
        <v>0.6702469868457746</v>
      </c>
      <c r="Q378" s="3" t="n">
        <v>101080</v>
      </c>
      <c r="R378" s="5" t="n">
        <v>0.5287829442026117</v>
      </c>
      <c r="S378" s="3" t="n">
        <v>98.8</v>
      </c>
      <c r="T378" s="5" t="n">
        <v>0.8731338695930109</v>
      </c>
      <c r="U378" s="6">
        <f>IF(OR(K378="",E378=""),"",(K378-E378)/K378)</f>
        <v/>
      </c>
      <c r="V378" s="6">
        <f>IF(OR(M378="",E378=""),"",(M378-E378)/M378)</f>
        <v/>
      </c>
      <c r="W378" s="6">
        <f>IF(OR(O378="",E378=""),"",(O378-E378)/O378)</f>
        <v/>
      </c>
      <c r="X378" s="6">
        <f>IF(OR(Q378="",E378=""),"",(Q378-E378)/Q378)</f>
        <v/>
      </c>
      <c r="Y378" s="6">
        <f>IF(OR(S378="",E378=""),"",((S378*3500)-E378)/(S378*3500))</f>
        <v/>
      </c>
      <c r="Z378" s="7" t="n"/>
    </row>
    <row r="379">
      <c r="A379" s="2" t="inlineStr">
        <is>
          <t>SECRET GARDEN</t>
        </is>
      </c>
      <c r="B379" s="2" t="inlineStr">
        <is>
          <t>SYMBOLS MESH LONG DRESS</t>
        </is>
      </c>
      <c r="C379" s="2" t="inlineStr">
        <is>
          <t>26VE36/SYMW</t>
        </is>
      </c>
      <c r="D379" s="2" t="n">
        <v>5000</v>
      </c>
      <c r="E379" s="3" t="n">
        <v>48425</v>
      </c>
      <c r="F379" s="4" t="n">
        <v>11926</v>
      </c>
      <c r="G379" s="3">
        <f>IF(OR(E379="",F379=""),"",E379+F379)</f>
        <v/>
      </c>
      <c r="H379" s="3" t="n">
        <v>71817.69</v>
      </c>
      <c r="I379" s="3" t="n">
        <v>179544.225</v>
      </c>
      <c r="J379" s="3" t="n">
        <v>169900</v>
      </c>
      <c r="K379" s="3" t="n">
        <v>78525.21008403362</v>
      </c>
      <c r="L379" s="5" t="n">
        <v>0.2314442720316764</v>
      </c>
      <c r="M379" s="3" t="n">
        <v>99941.17647058824</v>
      </c>
      <c r="N379" s="5" t="n">
        <v>0.3961347851677458</v>
      </c>
      <c r="O379" s="3" t="n">
        <v>182454.72</v>
      </c>
      <c r="P379" s="5" t="n">
        <v>0.669227521217319</v>
      </c>
      <c r="Q379" s="3" t="n">
        <v>127680</v>
      </c>
      <c r="R379" s="5" t="n">
        <v>0.5273261278195488</v>
      </c>
      <c r="S379" s="3" t="n">
        <v>124.8</v>
      </c>
      <c r="T379" s="5" t="n">
        <v>0.8727416497975709</v>
      </c>
      <c r="U379" s="6">
        <f>IF(OR(K379="",E379=""),"",(K379-E379)/K379)</f>
        <v/>
      </c>
      <c r="V379" s="6">
        <f>IF(OR(M379="",E379=""),"",(M379-E379)/M379)</f>
        <v/>
      </c>
      <c r="W379" s="6">
        <f>IF(OR(O379="",E379=""),"",(O379-E379)/O379)</f>
        <v/>
      </c>
      <c r="X379" s="6">
        <f>IF(OR(Q379="",E379=""),"",(Q379-E379)/Q379)</f>
        <v/>
      </c>
      <c r="Y379" s="6">
        <f>IF(OR(S379="",E379=""),"",((S379*3500)-E379)/(S379*3500))</f>
        <v/>
      </c>
      <c r="Z379" s="7" t="n"/>
    </row>
    <row r="380">
      <c r="A380" s="2" t="inlineStr">
        <is>
          <t>SECRET GARDEN</t>
        </is>
      </c>
      <c r="B380" s="2" t="inlineStr">
        <is>
          <t>SYMBOLS MESH LONG SHIRT</t>
        </is>
      </c>
      <c r="C380" s="2" t="inlineStr">
        <is>
          <t>26CA32/SYMW</t>
        </is>
      </c>
      <c r="D380" s="2" t="n">
        <v>5000</v>
      </c>
      <c r="E380" s="3" t="n">
        <v>30552</v>
      </c>
      <c r="F380" s="4" t="n">
        <v>11926</v>
      </c>
      <c r="G380" s="3">
        <f>IF(OR(E380="",F380=""),"",E380+F380)</f>
        <v/>
      </c>
      <c r="H380" s="3" t="n">
        <v>50548.82</v>
      </c>
      <c r="I380" s="3" t="n">
        <v>126372.05</v>
      </c>
      <c r="J380" s="3" t="n">
        <v>119900</v>
      </c>
      <c r="K380" s="3" t="n">
        <v>55415.96638655462</v>
      </c>
      <c r="L380" s="5" t="n">
        <v>0.2334700128895292</v>
      </c>
      <c r="M380" s="3" t="n">
        <v>70529.41176470587</v>
      </c>
      <c r="N380" s="5" t="n">
        <v>0.3977264386989157</v>
      </c>
      <c r="O380" s="3" t="n">
        <v>114034.2</v>
      </c>
      <c r="P380" s="5" t="n">
        <v>0.6274977155976014</v>
      </c>
      <c r="Q380" s="3" t="n">
        <v>79800</v>
      </c>
      <c r="R380" s="5" t="n">
        <v>0.4676942355889724</v>
      </c>
      <c r="S380" s="3" t="n">
        <v>78</v>
      </c>
      <c r="T380" s="5" t="n">
        <v>0.8566869095816464</v>
      </c>
      <c r="U380" s="6">
        <f>IF(OR(K380="",E380=""),"",(K380-E380)/K380)</f>
        <v/>
      </c>
      <c r="V380" s="6">
        <f>IF(OR(M380="",E380=""),"",(M380-E380)/M380)</f>
        <v/>
      </c>
      <c r="W380" s="6">
        <f>IF(OR(O380="",E380=""),"",(O380-E380)/O380)</f>
        <v/>
      </c>
      <c r="X380" s="6">
        <f>IF(OR(Q380="",E380=""),"",(Q380-E380)/Q380)</f>
        <v/>
      </c>
      <c r="Y380" s="6">
        <f>IF(OR(S380="",E380=""),"",((S380*3500)-E380)/(S380*3500))</f>
        <v/>
      </c>
      <c r="Z380" s="7" t="n"/>
    </row>
    <row r="381">
      <c r="A381" s="2" t="inlineStr">
        <is>
          <t>SECRET GARDEN</t>
        </is>
      </c>
      <c r="B381" s="2" t="inlineStr">
        <is>
          <t>SYMBOLS SHIRT</t>
        </is>
      </c>
      <c r="C381" s="2" t="inlineStr">
        <is>
          <t>26CA21/SYMG</t>
        </is>
      </c>
      <c r="D381" s="2" t="n">
        <v>5000</v>
      </c>
      <c r="E381" s="3" t="n">
        <v>47099.20661111111</v>
      </c>
      <c r="F381" s="4" t="n">
        <v>11926</v>
      </c>
      <c r="G381" s="3">
        <f>IF(OR(E381="",F381=""),"",E381+F381)</f>
        <v/>
      </c>
      <c r="H381" s="3" t="n">
        <v>70239.99586722223</v>
      </c>
      <c r="I381" s="3" t="n">
        <v>175599.9896680555</v>
      </c>
      <c r="J381" s="3" t="n">
        <v>169900</v>
      </c>
      <c r="K381" s="3" t="n">
        <v>78525.21008403362</v>
      </c>
      <c r="L381" s="5" t="n">
        <v>0.2483279376400854</v>
      </c>
      <c r="M381" s="3" t="n">
        <v>99941.17647058824</v>
      </c>
      <c r="N381" s="5" t="n">
        <v>0.4094005224314957</v>
      </c>
      <c r="O381" s="3" t="n">
        <v>174852.44</v>
      </c>
      <c r="P381" s="5" t="n">
        <v>0.6624284647608514</v>
      </c>
      <c r="Q381" s="3" t="n">
        <v>122360</v>
      </c>
      <c r="R381" s="5" t="n">
        <v>0.5176102761432566</v>
      </c>
      <c r="S381" s="3" t="n">
        <v>119.6</v>
      </c>
      <c r="T381" s="5" t="n">
        <v>0.8701258435770306</v>
      </c>
      <c r="U381" s="6">
        <f>IF(OR(K381="",E381=""),"",(K381-E381)/K381)</f>
        <v/>
      </c>
      <c r="V381" s="6">
        <f>IF(OR(M381="",E381=""),"",(M381-E381)/M381)</f>
        <v/>
      </c>
      <c r="W381" s="6">
        <f>IF(OR(O381="",E381=""),"",(O381-E381)/O381)</f>
        <v/>
      </c>
      <c r="X381" s="6">
        <f>IF(OR(Q381="",E381=""),"",(Q381-E381)/Q381)</f>
        <v/>
      </c>
      <c r="Y381" s="6">
        <f>IF(OR(S381="",E381=""),"",((S381*3500)-E381)/(S381*3500))</f>
        <v/>
      </c>
      <c r="Z381" s="7" t="n"/>
    </row>
    <row r="382">
      <c r="A382" s="2" t="inlineStr">
        <is>
          <t>SECRET GARDEN</t>
        </is>
      </c>
      <c r="B382" s="2" t="inlineStr">
        <is>
          <t>SYMBOLS CARGO PANTS</t>
        </is>
      </c>
      <c r="C382" s="2" t="inlineStr">
        <is>
          <t>26PA25/SYMG</t>
        </is>
      </c>
      <c r="D382" s="2" t="n">
        <v>5000</v>
      </c>
      <c r="E382" s="3" t="n">
        <v>64756.51568253968</v>
      </c>
      <c r="F382" s="4" t="n">
        <v>11926</v>
      </c>
      <c r="G382" s="3">
        <f>IF(OR(E382="",F382=""),"",E382+F382)</f>
        <v/>
      </c>
      <c r="H382" s="3" t="n">
        <v>91252.19366222223</v>
      </c>
      <c r="I382" s="3" t="n">
        <v>228130.4841555555</v>
      </c>
      <c r="J382" s="3" t="n">
        <v>189900</v>
      </c>
      <c r="K382" s="3" t="n">
        <v>87768.90756302522</v>
      </c>
      <c r="L382" s="5" t="n">
        <v>0.1263134313540886</v>
      </c>
      <c r="M382" s="3" t="n">
        <v>111705.8823529412</v>
      </c>
      <c r="N382" s="5" t="n">
        <v>0.3135319817782124</v>
      </c>
      <c r="O382" s="3" t="n">
        <v>212863.84</v>
      </c>
      <c r="P382" s="5" t="n">
        <v>0.6397579049474083</v>
      </c>
      <c r="Q382" s="3" t="n">
        <v>148960</v>
      </c>
      <c r="R382" s="5" t="n">
        <v>0.4852140461698463</v>
      </c>
      <c r="S382" s="3" t="n">
        <v>145.6</v>
      </c>
      <c r="T382" s="5" t="n">
        <v>0.8614037816611125</v>
      </c>
      <c r="U382" s="6">
        <f>IF(OR(K382="",E382=""),"",(K382-E382)/K382)</f>
        <v/>
      </c>
      <c r="V382" s="6">
        <f>IF(OR(M382="",E382=""),"",(M382-E382)/M382)</f>
        <v/>
      </c>
      <c r="W382" s="6">
        <f>IF(OR(O382="",E382=""),"",(O382-E382)/O382)</f>
        <v/>
      </c>
      <c r="X382" s="6">
        <f>IF(OR(Q382="",E382=""),"",(Q382-E382)/Q382)</f>
        <v/>
      </c>
      <c r="Y382" s="6">
        <f>IF(OR(S382="",E382=""),"",((S382*3500)-E382)/(S382*3500))</f>
        <v/>
      </c>
      <c r="Z382" s="7" t="n"/>
    </row>
    <row r="383">
      <c r="A383" s="2" t="inlineStr">
        <is>
          <t>SECRET GARDEN</t>
        </is>
      </c>
      <c r="B383" s="2" t="inlineStr">
        <is>
          <t>SYMBOLS LONG SKIRT</t>
        </is>
      </c>
      <c r="C383" s="2" t="inlineStr">
        <is>
          <t>26FA24/SYMW</t>
        </is>
      </c>
      <c r="D383" s="2" t="n">
        <v>5000</v>
      </c>
      <c r="E383" s="3" t="n">
        <v>43090.69215555555</v>
      </c>
      <c r="F383" s="4" t="n">
        <v>11926</v>
      </c>
      <c r="G383" s="3">
        <f>IF(OR(E383="",F383=""),"",E383+F383)</f>
        <v/>
      </c>
      <c r="H383" s="3" t="n">
        <v>65469.86366511111</v>
      </c>
      <c r="I383" s="3" t="n">
        <v>163674.6591627778</v>
      </c>
      <c r="J383" s="3" t="n">
        <v>159900</v>
      </c>
      <c r="K383" s="3" t="n">
        <v>73903.36134453783</v>
      </c>
      <c r="L383" s="5" t="n">
        <v>0.2555590009083962</v>
      </c>
      <c r="M383" s="3" t="n">
        <v>94058.82352941176</v>
      </c>
      <c r="N383" s="5" t="n">
        <v>0.4150820721423112</v>
      </c>
      <c r="O383" s="3" t="n">
        <v>182454.72</v>
      </c>
      <c r="P383" s="5" t="n">
        <v>0.6984638591122467</v>
      </c>
      <c r="Q383" s="3" t="n">
        <v>127680</v>
      </c>
      <c r="R383" s="5" t="n">
        <v>0.5691048546714007</v>
      </c>
      <c r="S383" s="3" t="n">
        <v>124.8</v>
      </c>
      <c r="T383" s="5" t="n">
        <v>0.8839897685653771</v>
      </c>
      <c r="U383" s="6">
        <f>IF(OR(K383="",E383=""),"",(K383-E383)/K383)</f>
        <v/>
      </c>
      <c r="V383" s="6">
        <f>IF(OR(M383="",E383=""),"",(M383-E383)/M383)</f>
        <v/>
      </c>
      <c r="W383" s="6">
        <f>IF(OR(O383="",E383=""),"",(O383-E383)/O383)</f>
        <v/>
      </c>
      <c r="X383" s="6">
        <f>IF(OR(Q383="",E383=""),"",(Q383-E383)/Q383)</f>
        <v/>
      </c>
      <c r="Y383" s="6">
        <f>IF(OR(S383="",E383=""),"",((S383*3500)-E383)/(S383*3500))</f>
        <v/>
      </c>
      <c r="Z383" s="7" t="n"/>
    </row>
    <row r="384">
      <c r="A384" s="2" t="inlineStr">
        <is>
          <t>SECRET GARDEN</t>
        </is>
      </c>
      <c r="B384" s="2" t="inlineStr">
        <is>
          <t>SYMBOLS SLEEP SHORT SLEEVELESS SHIRT</t>
        </is>
      </c>
      <c r="C384" s="2" t="inlineStr">
        <is>
          <t>264125/SYMW</t>
        </is>
      </c>
      <c r="D384" s="2" t="n">
        <v>5000</v>
      </c>
      <c r="E384" s="3" t="n">
        <v>21807.84375</v>
      </c>
      <c r="F384" s="4" t="n">
        <v>11926</v>
      </c>
      <c r="G384" s="3">
        <f>IF(OR(E384="",F384=""),"",E384+F384)</f>
        <v/>
      </c>
      <c r="H384" s="3" t="n">
        <v>40143.2740625</v>
      </c>
      <c r="I384" s="3" t="n">
        <v>100358.18515625</v>
      </c>
      <c r="J384" s="3" t="n">
        <v>94950</v>
      </c>
      <c r="K384" s="3" t="n">
        <v>43884.45378151261</v>
      </c>
      <c r="L384" s="5" t="n">
        <v>0.2313030961271483</v>
      </c>
      <c r="M384" s="3" t="n">
        <v>55852.94117647059</v>
      </c>
      <c r="N384" s="5" t="n">
        <v>0.3960238612427593</v>
      </c>
      <c r="O384" s="3" t="n">
        <v>57017.1</v>
      </c>
      <c r="P384" s="5" t="n">
        <v>0.4083556731226246</v>
      </c>
      <c r="Q384" s="3" t="n">
        <v>39900</v>
      </c>
      <c r="R384" s="5" t="n">
        <v>0.1545402568922306</v>
      </c>
      <c r="S384" s="3" t="n">
        <v>39</v>
      </c>
      <c r="T384" s="5" t="n">
        <v>0.7723762230094466</v>
      </c>
      <c r="U384" s="6">
        <f>IF(OR(K384="",E384=""),"",(K384-E384)/K384)</f>
        <v/>
      </c>
      <c r="V384" s="6">
        <f>IF(OR(M384="",E384=""),"",(M384-E384)/M384)</f>
        <v/>
      </c>
      <c r="W384" s="6">
        <f>IF(OR(O384="",E384=""),"",(O384-E384)/O384)</f>
        <v/>
      </c>
      <c r="X384" s="6">
        <f>IF(OR(Q384="",E384=""),"",(Q384-E384)/Q384)</f>
        <v/>
      </c>
      <c r="Y384" s="6">
        <f>IF(OR(S384="",E384=""),"",((S384*3500)-E384)/(S384*3500))</f>
        <v/>
      </c>
      <c r="Z384" s="7" t="n"/>
    </row>
    <row r="385">
      <c r="A385" s="2" t="inlineStr">
        <is>
          <t>SECRET GARDEN</t>
        </is>
      </c>
      <c r="B385" s="2" t="inlineStr">
        <is>
          <t>SYMBOLS SLEEP PANTS</t>
        </is>
      </c>
      <c r="C385" s="2" t="inlineStr">
        <is>
          <t>264323/SYMW</t>
        </is>
      </c>
      <c r="D385" s="2" t="n">
        <v>5000</v>
      </c>
      <c r="E385" s="3" t="n">
        <v>28786.53</v>
      </c>
      <c r="F385" s="4" t="n">
        <v>11926</v>
      </c>
      <c r="G385" s="3">
        <f>IF(OR(E385="",F385=""),"",E385+F385)</f>
        <v/>
      </c>
      <c r="H385" s="3" t="n">
        <v>48447.91069999999</v>
      </c>
      <c r="I385" s="3" t="n">
        <v>121119.77675</v>
      </c>
      <c r="J385" s="3" t="n">
        <v>99950</v>
      </c>
      <c r="K385" s="3" t="n">
        <v>46195.37815126051</v>
      </c>
      <c r="L385" s="5" t="n">
        <v>0.1186882404838785</v>
      </c>
      <c r="M385" s="3" t="n">
        <v>58794.11764705882</v>
      </c>
      <c r="N385" s="5" t="n">
        <v>0.3075407603801901</v>
      </c>
      <c r="O385" s="3" t="n">
        <v>57017.1</v>
      </c>
      <c r="P385" s="5" t="n">
        <v>0.2859592999293195</v>
      </c>
      <c r="Q385" s="3" t="n">
        <v>39900</v>
      </c>
      <c r="R385" s="5" t="n">
        <v>-0.02036416040100248</v>
      </c>
      <c r="S385" s="3" t="n">
        <v>39</v>
      </c>
      <c r="T385" s="5" t="n">
        <v>0.7252865721997301</v>
      </c>
      <c r="U385" s="6">
        <f>IF(OR(K385="",E385=""),"",(K385-E385)/K385)</f>
        <v/>
      </c>
      <c r="V385" s="6">
        <f>IF(OR(M385="",E385=""),"",(M385-E385)/M385)</f>
        <v/>
      </c>
      <c r="W385" s="6">
        <f>IF(OR(O385="",E385=""),"",(O385-E385)/O385)</f>
        <v/>
      </c>
      <c r="X385" s="6">
        <f>IF(OR(Q385="",E385=""),"",(Q385-E385)/Q385)</f>
        <v/>
      </c>
      <c r="Y385" s="6">
        <f>IF(OR(S385="",E385=""),"",((S385*3500)-E385)/(S385*3500))</f>
        <v/>
      </c>
      <c r="Z385" s="7" t="n"/>
    </row>
    <row r="386">
      <c r="A386" s="2" t="inlineStr">
        <is>
          <t>SECRET GARDEN</t>
        </is>
      </c>
      <c r="B386" s="2" t="inlineStr">
        <is>
          <t>SYMBOLS SLEEP SHORT</t>
        </is>
      </c>
      <c r="C386" s="2" t="inlineStr">
        <is>
          <t>264222/SYMW</t>
        </is>
      </c>
      <c r="D386" s="2" t="n">
        <v>5000</v>
      </c>
      <c r="E386" s="3" t="n">
        <v>18737.81</v>
      </c>
      <c r="F386" s="4" t="n">
        <v>11926</v>
      </c>
      <c r="G386" s="3">
        <f>IF(OR(E386="",F386=""),"",E386+F386)</f>
        <v/>
      </c>
      <c r="H386" s="3" t="n">
        <v>36489.9339</v>
      </c>
      <c r="I386" s="3" t="n">
        <v>91224.83474999999</v>
      </c>
      <c r="J386" s="3" t="n">
        <v>89950</v>
      </c>
      <c r="K386" s="3" t="n">
        <v>41573.52941176471</v>
      </c>
      <c r="L386" s="5" t="n">
        <v>0.2624198514326142</v>
      </c>
      <c r="M386" s="3" t="n">
        <v>52911.76470588235</v>
      </c>
      <c r="N386" s="5" t="n">
        <v>0.4204727404113396</v>
      </c>
      <c r="O386" s="3" t="n">
        <v>49414.82</v>
      </c>
      <c r="P386" s="5" t="n">
        <v>0.3794612628357242</v>
      </c>
      <c r="Q386" s="3" t="n">
        <v>34580</v>
      </c>
      <c r="R386" s="5" t="n">
        <v>0.1132501445922498</v>
      </c>
      <c r="S386" s="3" t="n">
        <v>33.8</v>
      </c>
      <c r="T386" s="5" t="n">
        <v>0.7612596543132981</v>
      </c>
      <c r="U386" s="6">
        <f>IF(OR(K386="",E386=""),"",(K386-E386)/K386)</f>
        <v/>
      </c>
      <c r="V386" s="6">
        <f>IF(OR(M386="",E386=""),"",(M386-E386)/M386)</f>
        <v/>
      </c>
      <c r="W386" s="6">
        <f>IF(OR(O386="",E386=""),"",(O386-E386)/O386)</f>
        <v/>
      </c>
      <c r="X386" s="6">
        <f>IF(OR(Q386="",E386=""),"",(Q386-E386)/Q386)</f>
        <v/>
      </c>
      <c r="Y386" s="6">
        <f>IF(OR(S386="",E386=""),"",((S386*3500)-E386)/(S386*3500))</f>
        <v/>
      </c>
      <c r="Z386" s="7" t="n"/>
    </row>
    <row r="387">
      <c r="A387" s="2" t="inlineStr">
        <is>
          <t>SECRET GARDEN</t>
        </is>
      </c>
      <c r="B387" s="2" t="inlineStr">
        <is>
          <t>I'M WHITE MESH CUT OUT ONE PIECE</t>
        </is>
      </c>
      <c r="C387" s="2" t="inlineStr">
        <is>
          <t>263371/WHT</t>
        </is>
      </c>
      <c r="D387" s="2" t="n">
        <v>5000</v>
      </c>
      <c r="E387" s="3" t="n">
        <v>47428.55785714286</v>
      </c>
      <c r="F387" s="4" t="n">
        <v>11926</v>
      </c>
      <c r="G387" s="3">
        <f>IF(OR(E387="",F387=""),"",E387+F387)</f>
        <v/>
      </c>
      <c r="H387" s="3" t="n">
        <v>70631.92385000001</v>
      </c>
      <c r="I387" s="3" t="n">
        <v>176579.809625</v>
      </c>
      <c r="J387" s="3" t="n">
        <v>189900</v>
      </c>
      <c r="K387" s="3" t="n">
        <v>87768.90756302522</v>
      </c>
      <c r="L387" s="5" t="n">
        <v>0.3237404964335296</v>
      </c>
      <c r="M387" s="3" t="n">
        <v>111705.8823529412</v>
      </c>
      <c r="N387" s="5" t="n">
        <v>0.4686532471977732</v>
      </c>
      <c r="O387" s="3" t="n">
        <v>190057</v>
      </c>
      <c r="P387" s="5" t="n">
        <v>0.6877012798416114</v>
      </c>
      <c r="Q387" s="3" t="n">
        <v>133000</v>
      </c>
      <c r="R387" s="5" t="n">
        <v>0.5537251288936627</v>
      </c>
      <c r="S387" s="3" t="n">
        <v>130</v>
      </c>
      <c r="T387" s="5" t="n">
        <v>0.8798490731636783</v>
      </c>
      <c r="U387" s="6">
        <f>IF(OR(K387="",E387=""),"",(K387-E387)/K387)</f>
        <v/>
      </c>
      <c r="V387" s="6">
        <f>IF(OR(M387="",E387=""),"",(M387-E387)/M387)</f>
        <v/>
      </c>
      <c r="W387" s="6">
        <f>IF(OR(O387="",E387=""),"",(O387-E387)/O387)</f>
        <v/>
      </c>
      <c r="X387" s="6">
        <f>IF(OR(Q387="",E387=""),"",(Q387-E387)/Q387)</f>
        <v/>
      </c>
      <c r="Y387" s="6">
        <f>IF(OR(S387="",E387=""),"",((S387*3500)-E387)/(S387*3500))</f>
        <v/>
      </c>
      <c r="Z387" s="7" t="n"/>
    </row>
    <row r="388">
      <c r="A388" s="2" t="inlineStr">
        <is>
          <t>SECRET GARDEN</t>
        </is>
      </c>
      <c r="B388" s="2" t="inlineStr">
        <is>
          <t>I'M WHITE MESH SPORTY TOP</t>
        </is>
      </c>
      <c r="C388" s="2" t="inlineStr">
        <is>
          <t>263176/WHT</t>
        </is>
      </c>
      <c r="D388" s="2" t="n">
        <v>5000</v>
      </c>
      <c r="E388" s="3" t="n">
        <v>35895.86448275862</v>
      </c>
      <c r="F388" s="4" t="n">
        <v>11926</v>
      </c>
      <c r="G388" s="3">
        <f>IF(OR(E388="",F388=""),"",E388+F388)</f>
        <v/>
      </c>
      <c r="H388" s="3" t="n">
        <v>56908.01873448276</v>
      </c>
      <c r="I388" s="3" t="n">
        <v>142270.0468362069</v>
      </c>
      <c r="J388" s="3" t="n">
        <v>139900</v>
      </c>
      <c r="K388" s="3" t="n">
        <v>64659.66386554623</v>
      </c>
      <c r="L388" s="5" t="n">
        <v>0.2604065405876567</v>
      </c>
      <c r="M388" s="3" t="n">
        <v>82294.11764705883</v>
      </c>
      <c r="N388" s="5" t="n">
        <v>0.418890853318873</v>
      </c>
      <c r="O388" s="3" t="n">
        <v>125437.62</v>
      </c>
      <c r="P388" s="5" t="n">
        <v>0.6187597908605199</v>
      </c>
      <c r="Q388" s="3" t="n">
        <v>87779.99999999999</v>
      </c>
      <c r="R388" s="5" t="n">
        <v>0.4552077411396829</v>
      </c>
      <c r="S388" s="3" t="n">
        <v>85.8</v>
      </c>
      <c r="T388" s="5" t="n">
        <v>0.8533251610760685</v>
      </c>
      <c r="U388" s="6">
        <f>IF(OR(K388="",E388=""),"",(K388-E388)/K388)</f>
        <v/>
      </c>
      <c r="V388" s="6">
        <f>IF(OR(M388="",E388=""),"",(M388-E388)/M388)</f>
        <v/>
      </c>
      <c r="W388" s="6">
        <f>IF(OR(O388="",E388=""),"",(O388-E388)/O388)</f>
        <v/>
      </c>
      <c r="X388" s="6">
        <f>IF(OR(Q388="",E388=""),"",(Q388-E388)/Q388)</f>
        <v/>
      </c>
      <c r="Y388" s="6">
        <f>IF(OR(S388="",E388=""),"",((S388*3500)-E388)/(S388*3500))</f>
        <v/>
      </c>
      <c r="Z388" s="7" t="n"/>
    </row>
    <row r="389">
      <c r="A389" s="2" t="inlineStr">
        <is>
          <t>SECRET GARDEN</t>
        </is>
      </c>
      <c r="B389" s="2" t="inlineStr">
        <is>
          <t>I'M WHITE MESH HIGH WAIST BOTTOM</t>
        </is>
      </c>
      <c r="C389" s="2" t="inlineStr">
        <is>
          <t>263244/WHT</t>
        </is>
      </c>
      <c r="D389" s="2" t="n">
        <v>5000</v>
      </c>
      <c r="E389" s="3" t="n">
        <v>24454.80827586207</v>
      </c>
      <c r="F389" s="4" t="n">
        <v>11926</v>
      </c>
      <c r="G389" s="3">
        <f>IF(OR(E389="",F389=""),"",E389+F389)</f>
        <v/>
      </c>
      <c r="H389" s="3" t="n">
        <v>43293.16184827586</v>
      </c>
      <c r="I389" s="3" t="n">
        <v>108232.9046206897</v>
      </c>
      <c r="J389" s="3" t="n">
        <v>109900</v>
      </c>
      <c r="K389" s="3" t="n">
        <v>50794.11764705883</v>
      </c>
      <c r="L389" s="5" t="n">
        <v>0.2837594201625301</v>
      </c>
      <c r="M389" s="3" t="n">
        <v>64647.05882352941</v>
      </c>
      <c r="N389" s="5" t="n">
        <v>0.4372395444134164</v>
      </c>
      <c r="O389" s="3" t="n">
        <v>114034.2</v>
      </c>
      <c r="P389" s="5" t="n">
        <v>0.6809658130993853</v>
      </c>
      <c r="Q389" s="3" t="n">
        <v>79800</v>
      </c>
      <c r="R389" s="5" t="n">
        <v>0.5441001469190216</v>
      </c>
      <c r="S389" s="3" t="n">
        <v>78</v>
      </c>
      <c r="T389" s="5" t="n">
        <v>0.8772577318628135</v>
      </c>
      <c r="U389" s="6">
        <f>IF(OR(K389="",E389=""),"",(K389-E389)/K389)</f>
        <v/>
      </c>
      <c r="V389" s="6">
        <f>IF(OR(M389="",E389=""),"",(M389-E389)/M389)</f>
        <v/>
      </c>
      <c r="W389" s="6">
        <f>IF(OR(O389="",E389=""),"",(O389-E389)/O389)</f>
        <v/>
      </c>
      <c r="X389" s="6">
        <f>IF(OR(Q389="",E389=""),"",(Q389-E389)/Q389)</f>
        <v/>
      </c>
      <c r="Y389" s="6">
        <f>IF(OR(S389="",E389=""),"",((S389*3500)-E389)/(S389*3500))</f>
        <v/>
      </c>
      <c r="Z389" s="7" t="n"/>
    </row>
    <row r="390">
      <c r="A390" s="2" t="inlineStr">
        <is>
          <t>SECRET GARDEN</t>
        </is>
      </c>
      <c r="B390" s="2" t="inlineStr">
        <is>
          <t>I'M WHITE UNDERWIRE BRALETTE TOP</t>
        </is>
      </c>
      <c r="C390" s="2" t="inlineStr">
        <is>
          <t>263149/WHT</t>
        </is>
      </c>
      <c r="D390" s="2" t="n">
        <v>5000</v>
      </c>
      <c r="E390" s="3" t="n">
        <v>56682.22857142858</v>
      </c>
      <c r="F390" s="4" t="n">
        <v>11926</v>
      </c>
      <c r="G390" s="3">
        <f>IF(OR(E390="",F390=""),"",E390+F390)</f>
        <v/>
      </c>
      <c r="H390" s="3" t="n">
        <v>81643.79199999999</v>
      </c>
      <c r="I390" s="3" t="n">
        <v>204109.48</v>
      </c>
      <c r="J390" s="3" t="n">
        <v>179900</v>
      </c>
      <c r="K390" s="3" t="n">
        <v>83147.05882352943</v>
      </c>
      <c r="L390" s="5" t="n">
        <v>0.1748568194451465</v>
      </c>
      <c r="M390" s="3" t="n">
        <v>105823.5294117647</v>
      </c>
      <c r="N390" s="5" t="n">
        <v>0.3516732152783292</v>
      </c>
      <c r="O390" s="3" t="n">
        <v>144443.32</v>
      </c>
      <c r="P390" s="5" t="n">
        <v>0.5250162584782143</v>
      </c>
      <c r="Q390" s="3" t="n">
        <v>101080</v>
      </c>
      <c r="R390" s="5" t="n">
        <v>0.3212482333653682</v>
      </c>
      <c r="S390" s="3" t="n">
        <v>98.8</v>
      </c>
      <c r="T390" s="5" t="n">
        <v>0.8172591397522145</v>
      </c>
      <c r="U390" s="6">
        <f>IF(OR(K390="",E390=""),"",(K390-E390)/K390)</f>
        <v/>
      </c>
      <c r="V390" s="6">
        <f>IF(OR(M390="",E390=""),"",(M390-E390)/M390)</f>
        <v/>
      </c>
      <c r="W390" s="6">
        <f>IF(OR(O390="",E390=""),"",(O390-E390)/O390)</f>
        <v/>
      </c>
      <c r="X390" s="6">
        <f>IF(OR(Q390="",E390=""),"",(Q390-E390)/Q390)</f>
        <v/>
      </c>
      <c r="Y390" s="6">
        <f>IF(OR(S390="",E390=""),"",((S390*3500)-E390)/(S390*3500))</f>
        <v/>
      </c>
      <c r="Z390" s="7" t="n"/>
    </row>
    <row r="391">
      <c r="A391" s="2" t="inlineStr">
        <is>
          <t>SECRET GARDEN</t>
        </is>
      </c>
      <c r="B391" s="2" t="inlineStr">
        <is>
          <t>I'M WHITE MESH HIGH LEG BOTTOM</t>
        </is>
      </c>
      <c r="C391" s="2" t="inlineStr">
        <is>
          <t>263245/WHT</t>
        </is>
      </c>
      <c r="D391" s="2" t="n">
        <v>5000</v>
      </c>
      <c r="E391" s="3" t="n">
        <v>21518.53283333333</v>
      </c>
      <c r="F391" s="4" t="n">
        <v>11926</v>
      </c>
      <c r="G391" s="3">
        <f>IF(OR(E391="",F391=""),"",E391+F391)</f>
        <v/>
      </c>
      <c r="H391" s="3" t="n">
        <v>39798.99407166666</v>
      </c>
      <c r="I391" s="3" t="n">
        <v>99497.48517916666</v>
      </c>
      <c r="J391" s="3" t="n">
        <v>109900</v>
      </c>
      <c r="K391" s="3" t="n">
        <v>50794.11764705883</v>
      </c>
      <c r="L391" s="5" t="n">
        <v>0.3415668116193786</v>
      </c>
      <c r="M391" s="3" t="n">
        <v>64647.05882352941</v>
      </c>
      <c r="N391" s="5" t="n">
        <v>0.4826596377009402</v>
      </c>
      <c r="O391" s="3" t="n">
        <v>125437.62</v>
      </c>
      <c r="P391" s="5" t="n">
        <v>0.7333771731850992</v>
      </c>
      <c r="Q391" s="3" t="n">
        <v>87779.99999999999</v>
      </c>
      <c r="R391" s="5" t="n">
        <v>0.6189959804815067</v>
      </c>
      <c r="S391" s="3" t="n">
        <v>85.8</v>
      </c>
      <c r="T391" s="5" t="n">
        <v>0.8974219947450209</v>
      </c>
      <c r="U391" s="6">
        <f>IF(OR(K391="",E391=""),"",(K391-E391)/K391)</f>
        <v/>
      </c>
      <c r="V391" s="6">
        <f>IF(OR(M391="",E391=""),"",(M391-E391)/M391)</f>
        <v/>
      </c>
      <c r="W391" s="6">
        <f>IF(OR(O391="",E391=""),"",(O391-E391)/O391)</f>
        <v/>
      </c>
      <c r="X391" s="6">
        <f>IF(OR(Q391="",E391=""),"",(Q391-E391)/Q391)</f>
        <v/>
      </c>
      <c r="Y391" s="6">
        <f>IF(OR(S391="",E391=""),"",((S391*3500)-E391)/(S391*3500))</f>
        <v/>
      </c>
      <c r="Z391" s="7" t="n"/>
    </row>
    <row r="392">
      <c r="A392" s="2" t="inlineStr">
        <is>
          <t>SECRET GARDEN</t>
        </is>
      </c>
      <c r="B392" s="2" t="inlineStr">
        <is>
          <t>I'M WHITE RUFFLE MESH MINI SKIRT</t>
        </is>
      </c>
      <c r="C392" s="2" t="inlineStr">
        <is>
          <t>26FA26/WHT</t>
        </is>
      </c>
      <c r="D392" s="2" t="n">
        <v>5000</v>
      </c>
      <c r="E392" s="3" t="n">
        <v>23922.19</v>
      </c>
      <c r="F392" s="4" t="n">
        <v>11926</v>
      </c>
      <c r="G392" s="3">
        <f>IF(OR(E392="",F392=""),"",E392+F392)</f>
        <v/>
      </c>
      <c r="H392" s="3" t="n">
        <v>42659.3461</v>
      </c>
      <c r="I392" s="3" t="n">
        <v>106648.36525</v>
      </c>
      <c r="J392" s="3" t="n">
        <v>129900</v>
      </c>
      <c r="K392" s="3" t="n">
        <v>60037.81512605043</v>
      </c>
      <c r="L392" s="5" t="n">
        <v>0.4029064861081952</v>
      </c>
      <c r="M392" s="3" t="n">
        <v>76411.76470588235</v>
      </c>
      <c r="N392" s="5" t="n">
        <v>0.5308550962278675</v>
      </c>
      <c r="O392" s="3" t="n">
        <v>114034.2</v>
      </c>
      <c r="P392" s="5" t="n">
        <v>0.6856365020318466</v>
      </c>
      <c r="Q392" s="3" t="n">
        <v>79800</v>
      </c>
      <c r="R392" s="5" t="n">
        <v>0.5507745614035088</v>
      </c>
      <c r="S392" s="3" t="n">
        <v>78</v>
      </c>
      <c r="T392" s="5" t="n">
        <v>0.879054689608637</v>
      </c>
      <c r="U392" s="6">
        <f>IF(OR(K392="",E392=""),"",(K392-E392)/K392)</f>
        <v/>
      </c>
      <c r="V392" s="6">
        <f>IF(OR(M392="",E392=""),"",(M392-E392)/M392)</f>
        <v/>
      </c>
      <c r="W392" s="6">
        <f>IF(OR(O392="",E392=""),"",(O392-E392)/O392)</f>
        <v/>
      </c>
      <c r="X392" s="6">
        <f>IF(OR(Q392="",E392=""),"",(Q392-E392)/Q392)</f>
        <v/>
      </c>
      <c r="Y392" s="6">
        <f>IF(OR(S392="",E392=""),"",((S392*3500)-E392)/(S392*3500))</f>
        <v/>
      </c>
      <c r="Z392" s="7" t="n"/>
    </row>
    <row r="393">
      <c r="A393" s="2" t="inlineStr">
        <is>
          <t>SECRET GARDEN</t>
        </is>
      </c>
      <c r="B393" s="2" t="inlineStr">
        <is>
          <t>I'M WHITE LARGE RUFFLE MESH PAREO</t>
        </is>
      </c>
      <c r="C393" s="2" t="inlineStr">
        <is>
          <t>26RE30/WHT</t>
        </is>
      </c>
      <c r="D393" s="2" t="n">
        <v>5000</v>
      </c>
      <c r="E393" s="3" t="n">
        <v>50842.92</v>
      </c>
      <c r="F393" s="4" t="n">
        <v>11926</v>
      </c>
      <c r="G393" s="3">
        <f>IF(OR(E393="",F393=""),"",E393+F393)</f>
        <v/>
      </c>
      <c r="H393" s="3" t="n">
        <v>74695.01479999999</v>
      </c>
      <c r="I393" s="3" t="n">
        <v>186737.537</v>
      </c>
      <c r="J393" s="3" t="n">
        <v>169900</v>
      </c>
      <c r="K393" s="3" t="n">
        <v>78525.21008403362</v>
      </c>
      <c r="L393" s="5" t="n">
        <v>0.2006526320295362</v>
      </c>
      <c r="M393" s="3" t="n">
        <v>99941.17647058824</v>
      </c>
      <c r="N393" s="5" t="n">
        <v>0.3719413537374927</v>
      </c>
      <c r="O393" s="3" t="n">
        <v>244359</v>
      </c>
      <c r="P393" s="5" t="n">
        <v>0.7431282661985031</v>
      </c>
      <c r="Q393" s="3" t="n">
        <v>171000</v>
      </c>
      <c r="R393" s="5" t="n">
        <v>0.6329302923976609</v>
      </c>
      <c r="S393" s="3" t="n">
        <v>93.60000000000001</v>
      </c>
      <c r="T393" s="5" t="n">
        <v>0.823524179037337</v>
      </c>
      <c r="U393" s="6">
        <f>IF(OR(K393="",E393=""),"",(K393-E393)/K393)</f>
        <v/>
      </c>
      <c r="V393" s="6">
        <f>IF(OR(M393="",E393=""),"",(M393-E393)/M393)</f>
        <v/>
      </c>
      <c r="W393" s="6">
        <f>IF(OR(O393="",E393=""),"",(O393-E393)/O393)</f>
        <v/>
      </c>
      <c r="X393" s="6">
        <f>IF(OR(Q393="",E393=""),"",(Q393-E393)/Q393)</f>
        <v/>
      </c>
      <c r="Y393" s="6">
        <f>IF(OR(S393="",E393=""),"",((S393*3500)-E393)/(S393*3500))</f>
        <v/>
      </c>
      <c r="Z393" s="7" t="n"/>
    </row>
    <row r="394">
      <c r="A394" s="2" t="inlineStr">
        <is>
          <t>SECRET GARDEN</t>
        </is>
      </c>
      <c r="B394" s="2" t="inlineStr">
        <is>
          <t>I'M WHITE UNDERWIRE MESH LONG DRESS</t>
        </is>
      </c>
      <c r="C394" s="2" t="inlineStr">
        <is>
          <t>26VE37/WHT</t>
        </is>
      </c>
      <c r="D394" s="2" t="n">
        <v>5000</v>
      </c>
      <c r="E394" s="3" t="n">
        <v>54048.74380952381</v>
      </c>
      <c r="F394" s="4" t="n">
        <v>11926</v>
      </c>
      <c r="G394" s="3">
        <f>IF(OR(E394="",F394=""),"",E394+F394)</f>
        <v/>
      </c>
      <c r="H394" s="3" t="n">
        <v>78509.94513333334</v>
      </c>
      <c r="I394" s="3" t="n">
        <v>196274.8628333333</v>
      </c>
      <c r="J394" s="3" t="n">
        <v>199900</v>
      </c>
      <c r="K394" s="3" t="n">
        <v>92390.75630252103</v>
      </c>
      <c r="L394" s="5" t="n">
        <v>0.2859161841526824</v>
      </c>
      <c r="M394" s="3" t="n">
        <v>117588.2352941176</v>
      </c>
      <c r="N394" s="5" t="n">
        <v>0.4389341446913932</v>
      </c>
      <c r="O394" s="3" t="n">
        <v>206347.6</v>
      </c>
      <c r="P394" s="5" t="n">
        <v>0.680273752592597</v>
      </c>
      <c r="Q394" s="3" t="n">
        <v>144400</v>
      </c>
      <c r="R394" s="5" t="n">
        <v>0.5431111924548212</v>
      </c>
      <c r="S394" s="3" t="n">
        <v>156</v>
      </c>
      <c r="T394" s="5" t="n">
        <v>0.8887065725210463</v>
      </c>
      <c r="U394" s="6">
        <f>IF(OR(K394="",E394=""),"",(K394-E394)/K394)</f>
        <v/>
      </c>
      <c r="V394" s="6">
        <f>IF(OR(M394="",E394=""),"",(M394-E394)/M394)</f>
        <v/>
      </c>
      <c r="W394" s="6">
        <f>IF(OR(O394="",E394=""),"",(O394-E394)/O394)</f>
        <v/>
      </c>
      <c r="X394" s="6">
        <f>IF(OR(Q394="",E394=""),"",(Q394-E394)/Q394)</f>
        <v/>
      </c>
      <c r="Y394" s="6">
        <f>IF(OR(S394="",E394=""),"",((S394*3500)-E394)/(S394*3500))</f>
        <v/>
      </c>
      <c r="Z394" s="7" t="n"/>
    </row>
    <row r="395">
      <c r="A395" s="2" t="inlineStr">
        <is>
          <t>SECRET GARDEN</t>
        </is>
      </c>
      <c r="B395" s="2" t="inlineStr">
        <is>
          <t>I'M WHITE CARGO PANTS</t>
        </is>
      </c>
      <c r="C395" s="2" t="inlineStr">
        <is>
          <t>26PA25/WHT</t>
        </is>
      </c>
      <c r="D395" s="2" t="n">
        <v>5000</v>
      </c>
      <c r="E395" s="3" t="n">
        <v>64756.51568253968</v>
      </c>
      <c r="F395" s="4" t="n">
        <v>11926</v>
      </c>
      <c r="G395" s="3">
        <f>IF(OR(E395="",F395=""),"",E395+F395)</f>
        <v/>
      </c>
      <c r="H395" s="3" t="n">
        <v>91252.19366222223</v>
      </c>
      <c r="I395" s="3" t="n">
        <v>228130.4841555555</v>
      </c>
      <c r="J395" s="3" t="n">
        <v>189900</v>
      </c>
      <c r="K395" s="3" t="n">
        <v>87768.90756302522</v>
      </c>
      <c r="L395" s="5" t="n">
        <v>0.1263134313540886</v>
      </c>
      <c r="M395" s="3" t="n">
        <v>111705.8823529412</v>
      </c>
      <c r="N395" s="5" t="n">
        <v>0.3135319817782124</v>
      </c>
      <c r="O395" s="3" t="n">
        <v>212863.84</v>
      </c>
      <c r="P395" s="5" t="n">
        <v>0.6397579049474083</v>
      </c>
      <c r="Q395" s="3" t="n">
        <v>148960</v>
      </c>
      <c r="R395" s="5" t="n">
        <v>0.4852140461698463</v>
      </c>
      <c r="S395" s="3" t="n">
        <v>145.6</v>
      </c>
      <c r="T395" s="5" t="n">
        <v>0.8614037816611125</v>
      </c>
      <c r="U395" s="6">
        <f>IF(OR(K395="",E395=""),"",(K395-E395)/K395)</f>
        <v/>
      </c>
      <c r="V395" s="6">
        <f>IF(OR(M395="",E395=""),"",(M395-E395)/M395)</f>
        <v/>
      </c>
      <c r="W395" s="6">
        <f>IF(OR(O395="",E395=""),"",(O395-E395)/O395)</f>
        <v/>
      </c>
      <c r="X395" s="6">
        <f>IF(OR(Q395="",E395=""),"",(Q395-E395)/Q395)</f>
        <v/>
      </c>
      <c r="Y395" s="6">
        <f>IF(OR(S395="",E395=""),"",((S395*3500)-E395)/(S395*3500))</f>
        <v/>
      </c>
      <c r="Z395" s="7" t="n"/>
    </row>
    <row r="396">
      <c r="A396" s="2" t="inlineStr">
        <is>
          <t>SECRET GARDEN</t>
        </is>
      </c>
      <c r="B396" s="2" t="inlineStr">
        <is>
          <t>PANNA COTTA LONG SKIRT</t>
        </is>
      </c>
      <c r="C396" s="2" t="inlineStr">
        <is>
          <t>26FA24/PNCT</t>
        </is>
      </c>
      <c r="D396" s="2" t="n">
        <v>5000</v>
      </c>
      <c r="E396" s="3" t="n">
        <v>43090.69215555555</v>
      </c>
      <c r="F396" s="4" t="n">
        <v>11926</v>
      </c>
      <c r="G396" s="3">
        <f>IF(OR(E396="",F396=""),"",E396+F396)</f>
        <v/>
      </c>
      <c r="H396" s="3" t="n">
        <v>65469.86366511111</v>
      </c>
      <c r="I396" s="3" t="n">
        <v>163674.6591627778</v>
      </c>
      <c r="J396" s="3" t="n">
        <v>159900</v>
      </c>
      <c r="K396" s="3" t="n">
        <v>73903.36134453783</v>
      </c>
      <c r="L396" s="5" t="n">
        <v>0.2555590009083962</v>
      </c>
      <c r="M396" s="3" t="n">
        <v>94058.82352941176</v>
      </c>
      <c r="N396" s="5" t="n">
        <v>0.4150820721423112</v>
      </c>
      <c r="O396" s="3" t="n">
        <v>182454.72</v>
      </c>
      <c r="P396" s="5" t="n">
        <v>0.6984638591122467</v>
      </c>
      <c r="Q396" s="3" t="n">
        <v>127680</v>
      </c>
      <c r="R396" s="5" t="n">
        <v>0.5691048546714007</v>
      </c>
      <c r="S396" s="3" t="n">
        <v>124.8</v>
      </c>
      <c r="T396" s="5" t="n">
        <v>0.8839897685653771</v>
      </c>
      <c r="U396" s="6">
        <f>IF(OR(K396="",E396=""),"",(K396-E396)/K396)</f>
        <v/>
      </c>
      <c r="V396" s="6">
        <f>IF(OR(M396="",E396=""),"",(M396-E396)/M396)</f>
        <v/>
      </c>
      <c r="W396" s="6">
        <f>IF(OR(O396="",E396=""),"",(O396-E396)/O396)</f>
        <v/>
      </c>
      <c r="X396" s="6">
        <f>IF(OR(Q396="",E396=""),"",(Q396-E396)/Q396)</f>
        <v/>
      </c>
      <c r="Y396" s="6">
        <f>IF(OR(S396="",E396=""),"",((S396*3500)-E396)/(S396*3500))</f>
        <v/>
      </c>
      <c r="Z396" s="7" t="n"/>
    </row>
    <row r="397">
      <c r="A397" s="2" t="inlineStr">
        <is>
          <t>SECRET GARDEN</t>
        </is>
      </c>
      <c r="B397" s="2" t="inlineStr">
        <is>
          <t>I'M WHITE MACRAME KNIT LONG SKIRT</t>
        </is>
      </c>
      <c r="C397" s="2" t="inlineStr">
        <is>
          <t>26FA27/WHT</t>
        </is>
      </c>
      <c r="D397" s="2" t="n">
        <v>5000</v>
      </c>
      <c r="E397" s="3" t="n">
        <v>41897.81</v>
      </c>
      <c r="F397" s="4" t="n">
        <v>11926</v>
      </c>
      <c r="G397" s="3">
        <f>IF(OR(E397="",F397=""),"",E397+F397)</f>
        <v/>
      </c>
      <c r="H397" s="3" t="n">
        <v>64050.3339</v>
      </c>
      <c r="I397" s="3" t="n">
        <v>160125.83475</v>
      </c>
      <c r="J397" s="3" t="n">
        <v>159900</v>
      </c>
      <c r="K397" s="3" t="n">
        <v>73903.36134453783</v>
      </c>
      <c r="L397" s="5" t="n">
        <v>0.2717001091591337</v>
      </c>
      <c r="M397" s="3" t="n">
        <v>94058.82352941176</v>
      </c>
      <c r="N397" s="5" t="n">
        <v>0.4277643714821764</v>
      </c>
      <c r="O397" s="3" t="n">
        <v>190057</v>
      </c>
      <c r="P397" s="5" t="n">
        <v>0.7168017489489995</v>
      </c>
      <c r="Q397" s="3" t="n">
        <v>133000</v>
      </c>
      <c r="R397" s="5" t="n">
        <v>0.5953096992481203</v>
      </c>
      <c r="S397" s="3" t="n">
        <v>130</v>
      </c>
      <c r="T397" s="5" t="n">
        <v>0.89104491902834</v>
      </c>
      <c r="U397" s="6">
        <f>IF(OR(K397="",E397=""),"",(K397-E397)/K397)</f>
        <v/>
      </c>
      <c r="V397" s="6">
        <f>IF(OR(M397="",E397=""),"",(M397-E397)/M397)</f>
        <v/>
      </c>
      <c r="W397" s="6">
        <f>IF(OR(O397="",E397=""),"",(O397-E397)/O397)</f>
        <v/>
      </c>
      <c r="X397" s="6">
        <f>IF(OR(Q397="",E397=""),"",(Q397-E397)/Q397)</f>
        <v/>
      </c>
      <c r="Y397" s="6">
        <f>IF(OR(S397="",E397=""),"",((S397*3500)-E397)/(S397*3500))</f>
        <v/>
      </c>
      <c r="Z397" s="7" t="n"/>
    </row>
    <row r="398">
      <c r="A398" s="2" t="inlineStr">
        <is>
          <t>SECRET GARDEN</t>
        </is>
      </c>
      <c r="B398" s="2" t="inlineStr">
        <is>
          <t>I'M WHITE STRAIGHT ONE PIECE</t>
        </is>
      </c>
      <c r="C398" s="2" t="inlineStr">
        <is>
          <t>263370/WHT</t>
        </is>
      </c>
      <c r="D398" s="2" t="n">
        <v>5000</v>
      </c>
      <c r="E398" s="3" t="n">
        <v>42873.6112</v>
      </c>
      <c r="F398" s="4" t="n">
        <v>11926</v>
      </c>
      <c r="G398" s="3">
        <f>IF(OR(E398="",F398=""),"",E398+F398)</f>
        <v/>
      </c>
      <c r="H398" s="3" t="n">
        <v>65211.537328</v>
      </c>
      <c r="I398" s="3" t="n">
        <v>163028.84332</v>
      </c>
      <c r="J398" s="3" t="n">
        <v>169900</v>
      </c>
      <c r="K398" s="3" t="n">
        <v>78525.21008403362</v>
      </c>
      <c r="L398" s="5" t="n">
        <v>0.3021398969661299</v>
      </c>
      <c r="M398" s="3" t="n">
        <v>99941.17647058824</v>
      </c>
      <c r="N398" s="5" t="n">
        <v>0.4516813476162448</v>
      </c>
      <c r="O398" s="3" t="n">
        <v>182454.72</v>
      </c>
      <c r="P398" s="5" t="n">
        <v>0.6996536389960204</v>
      </c>
      <c r="Q398" s="3" t="n">
        <v>127680</v>
      </c>
      <c r="R398" s="5" t="n">
        <v>0.5708050501253132</v>
      </c>
      <c r="S398" s="3" t="n">
        <v>124.8</v>
      </c>
      <c r="T398" s="5" t="n">
        <v>0.8844475134952767</v>
      </c>
      <c r="U398" s="6">
        <f>IF(OR(K398="",E398=""),"",(K398-E398)/K398)</f>
        <v/>
      </c>
      <c r="V398" s="6">
        <f>IF(OR(M398="",E398=""),"",(M398-E398)/M398)</f>
        <v/>
      </c>
      <c r="W398" s="6">
        <f>IF(OR(O398="",E398=""),"",(O398-E398)/O398)</f>
        <v/>
      </c>
      <c r="X398" s="6">
        <f>IF(OR(Q398="",E398=""),"",(Q398-E398)/Q398)</f>
        <v/>
      </c>
      <c r="Y398" s="6">
        <f>IF(OR(S398="",E398=""),"",((S398*3500)-E398)/(S398*3500))</f>
        <v/>
      </c>
      <c r="Z398" s="7" t="n"/>
    </row>
    <row r="399">
      <c r="A399" s="2" t="inlineStr">
        <is>
          <t>SECRET GARDEN</t>
        </is>
      </c>
      <c r="B399" s="2" t="inlineStr">
        <is>
          <t>I'M WHITE MESH DRESS</t>
        </is>
      </c>
      <c r="C399" s="2" t="inlineStr">
        <is>
          <t>26VE32/WHT</t>
        </is>
      </c>
      <c r="D399" s="2" t="n">
        <v>5000</v>
      </c>
      <c r="E399" s="3" t="n">
        <v>51220.07279693485</v>
      </c>
      <c r="F399" s="4" t="n">
        <v>11926</v>
      </c>
      <c r="G399" s="3">
        <f>IF(OR(E399="",F399=""),"",E399+F399)</f>
        <v/>
      </c>
      <c r="H399" s="3" t="n">
        <v>75143.82662835247</v>
      </c>
      <c r="I399" s="3" t="n">
        <v>187859.5665708811</v>
      </c>
      <c r="J399" s="3" t="n">
        <v>179900</v>
      </c>
      <c r="K399" s="3" t="n">
        <v>83147.05882352943</v>
      </c>
      <c r="L399" s="5" t="n">
        <v>0.2405495312713886</v>
      </c>
      <c r="M399" s="3" t="n">
        <v>105823.5294117647</v>
      </c>
      <c r="N399" s="5" t="n">
        <v>0.4032889174275194</v>
      </c>
      <c r="O399" s="3" t="n">
        <v>190057</v>
      </c>
      <c r="P399" s="5" t="n">
        <v>0.6677519228603269</v>
      </c>
      <c r="Q399" s="3" t="n">
        <v>133000</v>
      </c>
      <c r="R399" s="5" t="n">
        <v>0.5252174977674071</v>
      </c>
      <c r="S399" s="3" t="n">
        <v>130</v>
      </c>
      <c r="T399" s="5" t="n">
        <v>0.8721739417066096</v>
      </c>
      <c r="U399" s="6">
        <f>IF(OR(K399="",E399=""),"",(K399-E399)/K399)</f>
        <v/>
      </c>
      <c r="V399" s="6">
        <f>IF(OR(M399="",E399=""),"",(M399-E399)/M399)</f>
        <v/>
      </c>
      <c r="W399" s="6">
        <f>IF(OR(O399="",E399=""),"",(O399-E399)/O399)</f>
        <v/>
      </c>
      <c r="X399" s="6">
        <f>IF(OR(Q399="",E399=""),"",(Q399-E399)/Q399)</f>
        <v/>
      </c>
      <c r="Y399" s="6">
        <f>IF(OR(S399="",E399=""),"",((S399*3500)-E399)/(S399*3500))</f>
        <v/>
      </c>
      <c r="Z399" s="7" t="n"/>
    </row>
    <row r="400">
      <c r="A400" s="2" t="inlineStr">
        <is>
          <t>SECRET GARDEN</t>
        </is>
      </c>
      <c r="B400" s="2" t="inlineStr">
        <is>
          <t>I'M WHITE HALF SLEEVED BODY</t>
        </is>
      </c>
      <c r="C400" s="2" t="inlineStr">
        <is>
          <t>265024/WHT</t>
        </is>
      </c>
      <c r="D400" s="2" t="n">
        <v>5000</v>
      </c>
      <c r="E400" s="3" t="n">
        <v>45419.34876811595</v>
      </c>
      <c r="F400" s="4" t="n">
        <v>11926</v>
      </c>
      <c r="G400" s="3">
        <f>IF(OR(E400="",F400=""),"",E400+F400)</f>
        <v/>
      </c>
      <c r="H400" s="3" t="n">
        <v>68240.96503405797</v>
      </c>
      <c r="I400" s="3" t="n">
        <v>170602.4125851449</v>
      </c>
      <c r="J400" s="3" t="n">
        <v>169900</v>
      </c>
      <c r="K400" s="3" t="n">
        <v>78525.21008403362</v>
      </c>
      <c r="L400" s="5" t="n">
        <v>0.2697205304290441</v>
      </c>
      <c r="M400" s="3" t="n">
        <v>99941.17647058824</v>
      </c>
      <c r="N400" s="5" t="n">
        <v>0.426208988194249</v>
      </c>
      <c r="O400" s="3" t="n">
        <v>182454.72</v>
      </c>
      <c r="P400" s="5" t="n">
        <v>0.6857009302466061</v>
      </c>
      <c r="Q400" s="3" t="n">
        <v>127680</v>
      </c>
      <c r="R400" s="5" t="n">
        <v>0.5508666293224002</v>
      </c>
      <c r="S400" s="3" t="n">
        <v>124.8</v>
      </c>
      <c r="T400" s="5" t="n">
        <v>0.8790794771252617</v>
      </c>
      <c r="U400" s="6">
        <f>IF(OR(K400="",E400=""),"",(K400-E400)/K400)</f>
        <v/>
      </c>
      <c r="V400" s="6">
        <f>IF(OR(M400="",E400=""),"",(M400-E400)/M400)</f>
        <v/>
      </c>
      <c r="W400" s="6">
        <f>IF(OR(O400="",E400=""),"",(O400-E400)/O400)</f>
        <v/>
      </c>
      <c r="X400" s="6">
        <f>IF(OR(Q400="",E400=""),"",(Q400-E400)/Q400)</f>
        <v/>
      </c>
      <c r="Y400" s="6">
        <f>IF(OR(S400="",E400=""),"",((S400*3500)-E400)/(S400*3500))</f>
        <v/>
      </c>
      <c r="Z400" s="7" t="n"/>
    </row>
    <row r="401">
      <c r="A401" s="2" t="inlineStr">
        <is>
          <t>SECRET GARDEN</t>
        </is>
      </c>
      <c r="B401" s="2" t="inlineStr">
        <is>
          <t>I'M WHITE HALF SLEEVED CLIP BODY</t>
        </is>
      </c>
      <c r="C401" s="2" t="inlineStr">
        <is>
          <t>265025/WHT</t>
        </is>
      </c>
      <c r="D401" s="2" t="n">
        <v>5000</v>
      </c>
      <c r="E401" s="3" t="n">
        <v>45419.34876811595</v>
      </c>
      <c r="F401" s="4" t="n">
        <v>11926</v>
      </c>
      <c r="G401" s="3">
        <f>IF(OR(E401="",F401=""),"",E401+F401)</f>
        <v/>
      </c>
      <c r="H401" s="3" t="n">
        <v>68240.96503405797</v>
      </c>
      <c r="I401" s="3" t="n">
        <v>170602.4125851449</v>
      </c>
      <c r="J401" s="3" t="n">
        <v>169900</v>
      </c>
      <c r="K401" s="3" t="n">
        <v>78525.21008403362</v>
      </c>
      <c r="L401" s="5" t="n">
        <v>0.2697205304290441</v>
      </c>
      <c r="M401" s="3" t="n">
        <v>99941.17647058824</v>
      </c>
      <c r="N401" s="5" t="n">
        <v>0.426208988194249</v>
      </c>
      <c r="O401" s="3" t="n">
        <v>182454.72</v>
      </c>
      <c r="P401" s="5" t="n">
        <v>0.6857009302466061</v>
      </c>
      <c r="Q401" s="3" t="n">
        <v>127680</v>
      </c>
      <c r="R401" s="5" t="n">
        <v>0.5508666293224002</v>
      </c>
      <c r="S401" s="3" t="n">
        <v>124.8</v>
      </c>
      <c r="T401" s="5" t="n">
        <v>0.8790794771252617</v>
      </c>
      <c r="U401" s="6">
        <f>IF(OR(K401="",E401=""),"",(K401-E401)/K401)</f>
        <v/>
      </c>
      <c r="V401" s="6">
        <f>IF(OR(M401="",E401=""),"",(M401-E401)/M401)</f>
        <v/>
      </c>
      <c r="W401" s="6">
        <f>IF(OR(O401="",E401=""),"",(O401-E401)/O401)</f>
        <v/>
      </c>
      <c r="X401" s="6">
        <f>IF(OR(Q401="",E401=""),"",(Q401-E401)/Q401)</f>
        <v/>
      </c>
      <c r="Y401" s="6">
        <f>IF(OR(S401="",E401=""),"",((S401*3500)-E401)/(S401*3500))</f>
        <v/>
      </c>
      <c r="Z401" s="7" t="n"/>
    </row>
    <row r="402">
      <c r="A402" s="2" t="inlineStr">
        <is>
          <t>SECRET GARDEN</t>
        </is>
      </c>
      <c r="B402" s="2" t="inlineStr">
        <is>
          <t>I'M WHITE MESH TRIANGLE TOP</t>
        </is>
      </c>
      <c r="C402" s="2" t="inlineStr">
        <is>
          <t>213174/WHT</t>
        </is>
      </c>
      <c r="D402" s="2" t="n">
        <v>5000</v>
      </c>
      <c r="E402" s="3" t="n">
        <v>26322.15666666667</v>
      </c>
      <c r="F402" s="4" t="n">
        <v>11926</v>
      </c>
      <c r="G402" s="3">
        <f>IF(OR(E402="",F402=""),"",E402+F402)</f>
        <v/>
      </c>
      <c r="H402" s="3" t="n">
        <v>45515.30643333332</v>
      </c>
      <c r="I402" s="3" t="n">
        <v>113788.2660833333</v>
      </c>
      <c r="J402" s="3" t="n">
        <v>109900</v>
      </c>
      <c r="K402" s="3" t="n">
        <v>50794.11764705883</v>
      </c>
      <c r="L402" s="5" t="n">
        <v>0.2469963366145533</v>
      </c>
      <c r="M402" s="3" t="n">
        <v>64647.05882352941</v>
      </c>
      <c r="N402" s="5" t="n">
        <v>0.4083542644828632</v>
      </c>
      <c r="O402" s="3" t="n">
        <v>121636.48</v>
      </c>
      <c r="P402" s="5" t="n">
        <v>0.6855535718670365</v>
      </c>
      <c r="Q402" s="3" t="n">
        <v>85120</v>
      </c>
      <c r="R402" s="5" t="n">
        <v>0.550656054197995</v>
      </c>
      <c r="S402" s="3" t="n">
        <v>83.2</v>
      </c>
      <c r="T402" s="5" t="n">
        <v>0.8790227838225371</v>
      </c>
      <c r="U402" s="6">
        <f>IF(OR(K402="",E402=""),"",(K402-E402)/K402)</f>
        <v/>
      </c>
      <c r="V402" s="6">
        <f>IF(OR(M402="",E402=""),"",(M402-E402)/M402)</f>
        <v/>
      </c>
      <c r="W402" s="6">
        <f>IF(OR(O402="",E402=""),"",(O402-E402)/O402)</f>
        <v/>
      </c>
      <c r="X402" s="6">
        <f>IF(OR(Q402="",E402=""),"",(Q402-E402)/Q402)</f>
        <v/>
      </c>
      <c r="Y402" s="6">
        <f>IF(OR(S402="",E402=""),"",((S402*3500)-E402)/(S402*3500))</f>
        <v/>
      </c>
      <c r="Z402" s="7" t="n"/>
    </row>
    <row r="403">
      <c r="A403" s="2" t="inlineStr">
        <is>
          <t>SECRET GARDEN</t>
        </is>
      </c>
      <c r="B403" s="2" t="inlineStr">
        <is>
          <t>I'M WHITE MESH STRAP TIE SIDE BOTTOM</t>
        </is>
      </c>
      <c r="C403" s="2" t="inlineStr">
        <is>
          <t>213243/WHT</t>
        </is>
      </c>
      <c r="D403" s="2" t="n">
        <v>5000</v>
      </c>
      <c r="E403" s="3" t="n">
        <v>21787.91555555556</v>
      </c>
      <c r="F403" s="4" t="n">
        <v>11926</v>
      </c>
      <c r="G403" s="3">
        <f>IF(OR(E403="",F403=""),"",E403+F403)</f>
        <v/>
      </c>
      <c r="H403" s="3" t="n">
        <v>40119.55951111111</v>
      </c>
      <c r="I403" s="3" t="n">
        <v>100298.8987777778</v>
      </c>
      <c r="J403" s="3" t="n">
        <v>119900</v>
      </c>
      <c r="K403" s="3" t="n">
        <v>55415.96638655462</v>
      </c>
      <c r="L403" s="5" t="n">
        <v>0.3916209036149654</v>
      </c>
      <c r="M403" s="3" t="n">
        <v>70529.41176470587</v>
      </c>
      <c r="N403" s="5" t="n">
        <v>0.5219878528403299</v>
      </c>
      <c r="O403" s="3" t="n">
        <v>106431.92</v>
      </c>
      <c r="P403" s="5" t="n">
        <v>0.6832349209188789</v>
      </c>
      <c r="Q403" s="3" t="n">
        <v>74479.99999999999</v>
      </c>
      <c r="R403" s="5" t="n">
        <v>0.5473427019930779</v>
      </c>
      <c r="S403" s="3" t="n">
        <v>72.8</v>
      </c>
      <c r="T403" s="5" t="n">
        <v>0.8781307274596749</v>
      </c>
      <c r="U403" s="6">
        <f>IF(OR(K403="",E403=""),"",(K403-E403)/K403)</f>
        <v/>
      </c>
      <c r="V403" s="6">
        <f>IF(OR(M403="",E403=""),"",(M403-E403)/M403)</f>
        <v/>
      </c>
      <c r="W403" s="6">
        <f>IF(OR(O403="",E403=""),"",(O403-E403)/O403)</f>
        <v/>
      </c>
      <c r="X403" s="6">
        <f>IF(OR(Q403="",E403=""),"",(Q403-E403)/Q403)</f>
        <v/>
      </c>
      <c r="Y403" s="6">
        <f>IF(OR(S403="",E403=""),"",((S403*3500)-E403)/(S403*3500))</f>
        <v/>
      </c>
      <c r="Z403" s="7" t="n"/>
    </row>
    <row r="404">
      <c r="A404" s="2" t="inlineStr">
        <is>
          <t>SECRET GARDEN</t>
        </is>
      </c>
      <c r="B404" s="2" t="inlineStr">
        <is>
          <t>I'M WHITE SHIRT</t>
        </is>
      </c>
      <c r="C404" s="2" t="inlineStr">
        <is>
          <t>26CA21/WHT</t>
        </is>
      </c>
      <c r="D404" s="2" t="n">
        <v>5000</v>
      </c>
      <c r="E404" s="3" t="n">
        <v>47099.20661111111</v>
      </c>
      <c r="F404" s="4" t="n">
        <v>11926</v>
      </c>
      <c r="G404" s="3">
        <f>IF(OR(E404="",F404=""),"",E404+F404)</f>
        <v/>
      </c>
      <c r="H404" s="3" t="n">
        <v>70239.99586722223</v>
      </c>
      <c r="I404" s="3" t="n">
        <v>175599.9896680555</v>
      </c>
      <c r="J404" s="3" t="n">
        <v>169900</v>
      </c>
      <c r="K404" s="3" t="n">
        <v>78525.21008403362</v>
      </c>
      <c r="L404" s="5" t="n">
        <v>0.2483279376400854</v>
      </c>
      <c r="M404" s="3" t="n">
        <v>99941.17647058824</v>
      </c>
      <c r="N404" s="5" t="n">
        <v>0.4094005224314957</v>
      </c>
      <c r="O404" s="3" t="n">
        <v>190057</v>
      </c>
      <c r="P404" s="5" t="n">
        <v>0.6894341875799833</v>
      </c>
      <c r="Q404" s="3" t="n">
        <v>133000</v>
      </c>
      <c r="R404" s="5" t="n">
        <v>0.5562014540517961</v>
      </c>
      <c r="S404" s="3" t="n">
        <v>130</v>
      </c>
      <c r="T404" s="5" t="n">
        <v>0.8805157760908682</v>
      </c>
      <c r="U404" s="6">
        <f>IF(OR(K404="",E404=""),"",(K404-E404)/K404)</f>
        <v/>
      </c>
      <c r="V404" s="6">
        <f>IF(OR(M404="",E404=""),"",(M404-E404)/M404)</f>
        <v/>
      </c>
      <c r="W404" s="6">
        <f>IF(OR(O404="",E404=""),"",(O404-E404)/O404)</f>
        <v/>
      </c>
      <c r="X404" s="6">
        <f>IF(OR(Q404="",E404=""),"",(Q404-E404)/Q404)</f>
        <v/>
      </c>
      <c r="Y404" s="6">
        <f>IF(OR(S404="",E404=""),"",((S404*3500)-E404)/(S404*3500))</f>
        <v/>
      </c>
      <c r="Z404" s="7" t="n"/>
    </row>
    <row r="405">
      <c r="A405" s="2" t="inlineStr">
        <is>
          <t>SECRET GARDEN</t>
        </is>
      </c>
      <c r="B405" s="2" t="inlineStr">
        <is>
          <t>I'M WHITE WRAP SKORT</t>
        </is>
      </c>
      <c r="C405" s="2" t="inlineStr">
        <is>
          <t>26FA25/WHT</t>
        </is>
      </c>
      <c r="D405" s="2" t="n">
        <v>5000</v>
      </c>
      <c r="E405" s="3" t="n">
        <v>36274.27155172414</v>
      </c>
      <c r="F405" s="4" t="n">
        <v>11926</v>
      </c>
      <c r="G405" s="3">
        <f>IF(OR(E405="",F405=""),"",E405+F405)</f>
        <v/>
      </c>
      <c r="H405" s="3" t="n">
        <v>57358.32314655172</v>
      </c>
      <c r="I405" s="3" t="n">
        <v>143395.8078663793</v>
      </c>
      <c r="J405" s="3" t="n">
        <v>139900</v>
      </c>
      <c r="K405" s="3" t="n">
        <v>64659.66386554623</v>
      </c>
      <c r="L405" s="5" t="n">
        <v>0.2545542511332547</v>
      </c>
      <c r="M405" s="3" t="n">
        <v>82294.11764705883</v>
      </c>
      <c r="N405" s="5" t="n">
        <v>0.4142926258904143</v>
      </c>
      <c r="O405" s="3" t="n">
        <v>182454.72</v>
      </c>
      <c r="P405" s="5" t="n">
        <v>0.7358233782511948</v>
      </c>
      <c r="Q405" s="3" t="n">
        <v>127680</v>
      </c>
      <c r="R405" s="5" t="n">
        <v>0.6224916075209576</v>
      </c>
      <c r="S405" s="3" t="n">
        <v>124.8</v>
      </c>
      <c r="T405" s="5" t="n">
        <v>0.8983631251017963</v>
      </c>
      <c r="U405" s="6">
        <f>IF(OR(K405="",E405=""),"",(K405-E405)/K405)</f>
        <v/>
      </c>
      <c r="V405" s="6">
        <f>IF(OR(M405="",E405=""),"",(M405-E405)/M405)</f>
        <v/>
      </c>
      <c r="W405" s="6">
        <f>IF(OR(O405="",E405=""),"",(O405-E405)/O405)</f>
        <v/>
      </c>
      <c r="X405" s="6">
        <f>IF(OR(Q405="",E405=""),"",(Q405-E405)/Q405)</f>
        <v/>
      </c>
      <c r="Y405" s="6">
        <f>IF(OR(S405="",E405=""),"",((S405*3500)-E405)/(S405*3500))</f>
        <v/>
      </c>
      <c r="Z405" s="7" t="n"/>
    </row>
    <row r="406">
      <c r="A406" s="2" t="inlineStr">
        <is>
          <t>SECRET GARDEN</t>
        </is>
      </c>
      <c r="B406" s="2" t="inlineStr">
        <is>
          <t>I'M BLACK UNDERWIRE BRALETTE TOP</t>
        </is>
      </c>
      <c r="C406" s="2" t="inlineStr">
        <is>
          <t>263149/BLA</t>
        </is>
      </c>
      <c r="D406" s="2" t="n">
        <v>5000</v>
      </c>
      <c r="E406" s="3" t="n">
        <v>26296.09825</v>
      </c>
      <c r="F406" s="4" t="n">
        <v>11926</v>
      </c>
      <c r="G406" s="3">
        <f>IF(OR(E406="",F406=""),"",E406+F406)</f>
        <v/>
      </c>
      <c r="H406" s="3" t="n">
        <v>45484.29691749999</v>
      </c>
      <c r="I406" s="3" t="n">
        <v>113710.74229375</v>
      </c>
      <c r="J406" s="3" t="n">
        <v>119900</v>
      </c>
      <c r="K406" s="3" t="n">
        <v>55415.96638655462</v>
      </c>
      <c r="L406" s="5" t="n">
        <v>0.3102692104405188</v>
      </c>
      <c r="M406" s="3" t="n">
        <v>70529.41176470587</v>
      </c>
      <c r="N406" s="5" t="n">
        <v>0.4580686653461218</v>
      </c>
      <c r="O406" s="3" t="n">
        <v>144443.32</v>
      </c>
      <c r="P406" s="5" t="n">
        <v>0.7353834137154975</v>
      </c>
      <c r="Q406" s="3" t="n">
        <v>101080</v>
      </c>
      <c r="R406" s="5" t="n">
        <v>0.621862898199446</v>
      </c>
      <c r="S406" s="3" t="n">
        <v>98.8</v>
      </c>
      <c r="T406" s="5" t="n">
        <v>0.8981938572075432</v>
      </c>
      <c r="U406" s="6">
        <f>IF(OR(K406="",E406=""),"",(K406-E406)/K406)</f>
        <v/>
      </c>
      <c r="V406" s="6">
        <f>IF(OR(M406="",E406=""),"",(M406-E406)/M406)</f>
        <v/>
      </c>
      <c r="W406" s="6">
        <f>IF(OR(O406="",E406=""),"",(O406-E406)/O406)</f>
        <v/>
      </c>
      <c r="X406" s="6">
        <f>IF(OR(Q406="",E406=""),"",(Q406-E406)/Q406)</f>
        <v/>
      </c>
      <c r="Y406" s="6">
        <f>IF(OR(S406="",E406=""),"",((S406*3500)-E406)/(S406*3500))</f>
        <v/>
      </c>
      <c r="Z406" s="7" t="n"/>
    </row>
    <row r="407">
      <c r="A407" s="2" t="inlineStr">
        <is>
          <t>SECRET GARDEN</t>
        </is>
      </c>
      <c r="B407" s="2" t="inlineStr">
        <is>
          <t>I'M BLACK HIGH WAIST BOTTOM</t>
        </is>
      </c>
      <c r="C407" s="2" t="inlineStr">
        <is>
          <t>263223/BLA</t>
        </is>
      </c>
      <c r="D407" s="2" t="n">
        <v>5000</v>
      </c>
      <c r="E407" s="3" t="n">
        <v>23375.658</v>
      </c>
      <c r="F407" s="4" t="n">
        <v>11926</v>
      </c>
      <c r="G407" s="3">
        <f>IF(OR(E407="",F407=""),"",E407+F407)</f>
        <v/>
      </c>
      <c r="H407" s="3" t="n">
        <v>42008.97301999999</v>
      </c>
      <c r="I407" s="3" t="n">
        <v>105022.43255</v>
      </c>
      <c r="J407" s="3" t="n">
        <v>109900</v>
      </c>
      <c r="K407" s="3" t="n">
        <v>50794.11764705883</v>
      </c>
      <c r="L407" s="5" t="n">
        <v>0.3050049959467285</v>
      </c>
      <c r="M407" s="3" t="n">
        <v>64647.05882352941</v>
      </c>
      <c r="N407" s="5" t="n">
        <v>0.4539324968152866</v>
      </c>
      <c r="O407" s="3" t="n">
        <v>114034.2</v>
      </c>
      <c r="P407" s="5" t="n">
        <v>0.6904292045719618</v>
      </c>
      <c r="Q407" s="3" t="n">
        <v>79800</v>
      </c>
      <c r="R407" s="5" t="n">
        <v>0.5576233333333334</v>
      </c>
      <c r="S407" s="3" t="n">
        <v>78</v>
      </c>
      <c r="T407" s="5" t="n">
        <v>0.8808985897435898</v>
      </c>
      <c r="U407" s="6">
        <f>IF(OR(K407="",E407=""),"",(K407-E407)/K407)</f>
        <v/>
      </c>
      <c r="V407" s="6">
        <f>IF(OR(M407="",E407=""),"",(M407-E407)/M407)</f>
        <v/>
      </c>
      <c r="W407" s="6">
        <f>IF(OR(O407="",E407=""),"",(O407-E407)/O407)</f>
        <v/>
      </c>
      <c r="X407" s="6">
        <f>IF(OR(Q407="",E407=""),"",(Q407-E407)/Q407)</f>
        <v/>
      </c>
      <c r="Y407" s="6">
        <f>IF(OR(S407="",E407=""),"",((S407*3500)-E407)/(S407*3500))</f>
        <v/>
      </c>
      <c r="Z407" s="7" t="n"/>
    </row>
    <row r="408">
      <c r="A408" s="2" t="inlineStr">
        <is>
          <t>SECRET GARDEN</t>
        </is>
      </c>
      <c r="B408" s="2" t="inlineStr">
        <is>
          <t>I'M BLACK STRAIGHT ONE PIECE</t>
        </is>
      </c>
      <c r="C408" s="2" t="inlineStr">
        <is>
          <t>263370/BLA</t>
        </is>
      </c>
      <c r="D408" s="2" t="n">
        <v>5000</v>
      </c>
      <c r="E408" s="3" t="n">
        <v>42873.6112</v>
      </c>
      <c r="F408" s="4" t="n">
        <v>11926</v>
      </c>
      <c r="G408" s="3">
        <f>IF(OR(E408="",F408=""),"",E408+F408)</f>
        <v/>
      </c>
      <c r="H408" s="3" t="n">
        <v>65211.537328</v>
      </c>
      <c r="I408" s="3" t="n">
        <v>163028.84332</v>
      </c>
      <c r="J408" s="3" t="n">
        <v>169900</v>
      </c>
      <c r="K408" s="3" t="n">
        <v>78525.21008403362</v>
      </c>
      <c r="L408" s="5" t="n">
        <v>0.3021398969661299</v>
      </c>
      <c r="M408" s="3" t="n">
        <v>99941.17647058824</v>
      </c>
      <c r="N408" s="5" t="n">
        <v>0.4516813476162448</v>
      </c>
      <c r="O408" s="3" t="n">
        <v>182454.72</v>
      </c>
      <c r="P408" s="5" t="n">
        <v>0.6996536389960204</v>
      </c>
      <c r="Q408" s="3" t="n">
        <v>127680</v>
      </c>
      <c r="R408" s="5" t="n">
        <v>0.5708050501253132</v>
      </c>
      <c r="S408" s="3" t="n">
        <v>124.8</v>
      </c>
      <c r="T408" s="5" t="n">
        <v>0.8844475134952767</v>
      </c>
      <c r="U408" s="6">
        <f>IF(OR(K408="",E408=""),"",(K408-E408)/K408)</f>
        <v/>
      </c>
      <c r="V408" s="6">
        <f>IF(OR(M408="",E408=""),"",(M408-E408)/M408)</f>
        <v/>
      </c>
      <c r="W408" s="6">
        <f>IF(OR(O408="",E408=""),"",(O408-E408)/O408)</f>
        <v/>
      </c>
      <c r="X408" s="6">
        <f>IF(OR(Q408="",E408=""),"",(Q408-E408)/Q408)</f>
        <v/>
      </c>
      <c r="Y408" s="6">
        <f>IF(OR(S408="",E408=""),"",((S408*3500)-E408)/(S408*3500))</f>
        <v/>
      </c>
      <c r="Z408" s="7" t="n"/>
    </row>
    <row r="409">
      <c r="A409" s="2" t="inlineStr">
        <is>
          <t>SECRET GARDEN</t>
        </is>
      </c>
      <c r="B409" s="2" t="inlineStr">
        <is>
          <t>I'M BLACK HALF SLEEVED BODY</t>
        </is>
      </c>
      <c r="C409" s="2" t="inlineStr">
        <is>
          <t>265024/BLA</t>
        </is>
      </c>
      <c r="D409" s="2" t="n">
        <v>5000</v>
      </c>
      <c r="E409" s="3" t="n">
        <v>45419.34876811595</v>
      </c>
      <c r="F409" s="4" t="n">
        <v>11926</v>
      </c>
      <c r="G409" s="3">
        <f>IF(OR(E409="",F409=""),"",E409+F409)</f>
        <v/>
      </c>
      <c r="H409" s="3" t="n">
        <v>68240.96503405797</v>
      </c>
      <c r="I409" s="3" t="n">
        <v>170602.4125851449</v>
      </c>
      <c r="J409" s="3" t="n">
        <v>169900</v>
      </c>
      <c r="K409" s="3" t="n">
        <v>78525.21008403362</v>
      </c>
      <c r="L409" s="5" t="n">
        <v>0.2697205304290441</v>
      </c>
      <c r="M409" s="3" t="n">
        <v>99941.17647058824</v>
      </c>
      <c r="N409" s="5" t="n">
        <v>0.426208988194249</v>
      </c>
      <c r="O409" s="3" t="n">
        <v>182454.72</v>
      </c>
      <c r="P409" s="5" t="n">
        <v>0.6857009302466061</v>
      </c>
      <c r="Q409" s="3" t="n">
        <v>127680</v>
      </c>
      <c r="R409" s="5" t="n">
        <v>0.5508666293224002</v>
      </c>
      <c r="S409" s="3" t="n">
        <v>124.8</v>
      </c>
      <c r="T409" s="5" t="n">
        <v>0.8790794771252617</v>
      </c>
      <c r="U409" s="6">
        <f>IF(OR(K409="",E409=""),"",(K409-E409)/K409)</f>
        <v/>
      </c>
      <c r="V409" s="6">
        <f>IF(OR(M409="",E409=""),"",(M409-E409)/M409)</f>
        <v/>
      </c>
      <c r="W409" s="6">
        <f>IF(OR(O409="",E409=""),"",(O409-E409)/O409)</f>
        <v/>
      </c>
      <c r="X409" s="6">
        <f>IF(OR(Q409="",E409=""),"",(Q409-E409)/Q409)</f>
        <v/>
      </c>
      <c r="Y409" s="6">
        <f>IF(OR(S409="",E409=""),"",((S409*3500)-E409)/(S409*3500))</f>
        <v/>
      </c>
      <c r="Z409" s="7" t="n"/>
    </row>
    <row r="410">
      <c r="A410" s="2" t="inlineStr">
        <is>
          <t>SECRET GARDEN</t>
        </is>
      </c>
      <c r="B410" s="2" t="inlineStr">
        <is>
          <t>I'M BLACK HALF SLEEVED CLIP BODY</t>
        </is>
      </c>
      <c r="C410" s="2" t="inlineStr">
        <is>
          <t>265025/BLA</t>
        </is>
      </c>
      <c r="D410" s="2" t="n">
        <v>5000</v>
      </c>
      <c r="E410" s="3" t="n">
        <v>45419.34876811595</v>
      </c>
      <c r="F410" s="4" t="n">
        <v>11926</v>
      </c>
      <c r="G410" s="3">
        <f>IF(OR(E410="",F410=""),"",E410+F410)</f>
        <v/>
      </c>
      <c r="H410" s="3" t="n">
        <v>68240.96503405797</v>
      </c>
      <c r="I410" s="3" t="n">
        <v>170602.4125851449</v>
      </c>
      <c r="J410" s="3" t="n">
        <v>169900</v>
      </c>
      <c r="K410" s="3" t="n">
        <v>78525.21008403362</v>
      </c>
      <c r="L410" s="5" t="n">
        <v>0.2697205304290441</v>
      </c>
      <c r="M410" s="3" t="n">
        <v>99941.17647058824</v>
      </c>
      <c r="N410" s="5" t="n">
        <v>0.426208988194249</v>
      </c>
      <c r="O410" s="3" t="n">
        <v>182454.72</v>
      </c>
      <c r="P410" s="5" t="n">
        <v>0.6857009302466061</v>
      </c>
      <c r="Q410" s="3" t="n">
        <v>127680</v>
      </c>
      <c r="R410" s="5" t="n">
        <v>0.5508666293224002</v>
      </c>
      <c r="S410" s="3" t="n">
        <v>124.8</v>
      </c>
      <c r="T410" s="5" t="n">
        <v>0.8790794771252617</v>
      </c>
      <c r="U410" s="6">
        <f>IF(OR(K410="",E410=""),"",(K410-E410)/K410)</f>
        <v/>
      </c>
      <c r="V410" s="6">
        <f>IF(OR(M410="",E410=""),"",(M410-E410)/M410)</f>
        <v/>
      </c>
      <c r="W410" s="6">
        <f>IF(OR(O410="",E410=""),"",(O410-E410)/O410)</f>
        <v/>
      </c>
      <c r="X410" s="6">
        <f>IF(OR(Q410="",E410=""),"",(Q410-E410)/Q410)</f>
        <v/>
      </c>
      <c r="Y410" s="6">
        <f>IF(OR(S410="",E410=""),"",((S410*3500)-E410)/(S410*3500))</f>
        <v/>
      </c>
      <c r="Z410" s="7" t="n"/>
    </row>
    <row r="411">
      <c r="A411" s="2" t="inlineStr">
        <is>
          <t>SECRET GARDEN</t>
        </is>
      </c>
      <c r="B411" s="2" t="inlineStr">
        <is>
          <t>I'M BLACK MESH DRESS</t>
        </is>
      </c>
      <c r="C411" s="2" t="inlineStr">
        <is>
          <t>26VE32/BLA</t>
        </is>
      </c>
      <c r="D411" s="2" t="n">
        <v>5000</v>
      </c>
      <c r="E411" s="3" t="n">
        <v>51220.07279693485</v>
      </c>
      <c r="F411" s="4" t="n">
        <v>11926</v>
      </c>
      <c r="G411" s="3">
        <f>IF(OR(E411="",F411=""),"",E411+F411)</f>
        <v/>
      </c>
      <c r="H411" s="3" t="n">
        <v>75143.82662835247</v>
      </c>
      <c r="I411" s="3" t="n">
        <v>187859.5665708811</v>
      </c>
      <c r="J411" s="3" t="n">
        <v>179900</v>
      </c>
      <c r="K411" s="3" t="n">
        <v>83147.05882352943</v>
      </c>
      <c r="L411" s="5" t="n">
        <v>0.2405495312713886</v>
      </c>
      <c r="M411" s="3" t="n">
        <v>105823.5294117647</v>
      </c>
      <c r="N411" s="5" t="n">
        <v>0.4032889174275194</v>
      </c>
      <c r="O411" s="3" t="n">
        <v>190057</v>
      </c>
      <c r="P411" s="5" t="n">
        <v>0.6677519228603269</v>
      </c>
      <c r="Q411" s="3" t="n">
        <v>133000</v>
      </c>
      <c r="R411" s="5" t="n">
        <v>0.5252174977674071</v>
      </c>
      <c r="S411" s="3" t="n">
        <v>130</v>
      </c>
      <c r="T411" s="5" t="n">
        <v>0.8721739417066096</v>
      </c>
      <c r="U411" s="6">
        <f>IF(OR(K411="",E411=""),"",(K411-E411)/K411)</f>
        <v/>
      </c>
      <c r="V411" s="6">
        <f>IF(OR(M411="",E411=""),"",(M411-E411)/M411)</f>
        <v/>
      </c>
      <c r="W411" s="6">
        <f>IF(OR(O411="",E411=""),"",(O411-E411)/O411)</f>
        <v/>
      </c>
      <c r="X411" s="6">
        <f>IF(OR(Q411="",E411=""),"",(Q411-E411)/Q411)</f>
        <v/>
      </c>
      <c r="Y411" s="6">
        <f>IF(OR(S411="",E411=""),"",((S411*3500)-E411)/(S411*3500))</f>
        <v/>
      </c>
      <c r="Z411" s="7" t="n"/>
    </row>
    <row r="412">
      <c r="A412" s="2" t="inlineStr">
        <is>
          <t>SECRET GARDEN</t>
        </is>
      </c>
      <c r="B412" s="2" t="inlineStr">
        <is>
          <t>I'M BLACK CARGO PANTS</t>
        </is>
      </c>
      <c r="C412" s="2" t="inlineStr">
        <is>
          <t>26PA25/BLA</t>
        </is>
      </c>
      <c r="D412" s="2" t="n">
        <v>5000</v>
      </c>
      <c r="E412" s="3" t="n">
        <v>64756.51568253968</v>
      </c>
      <c r="F412" s="4" t="n">
        <v>11926</v>
      </c>
      <c r="G412" s="3">
        <f>IF(OR(E412="",F412=""),"",E412+F412)</f>
        <v/>
      </c>
      <c r="H412" s="3" t="n">
        <v>91252.19366222223</v>
      </c>
      <c r="I412" s="3" t="n">
        <v>228130.4841555555</v>
      </c>
      <c r="J412" s="3" t="n">
        <v>189900</v>
      </c>
      <c r="K412" s="3" t="n">
        <v>87768.90756302522</v>
      </c>
      <c r="L412" s="5" t="n">
        <v>0.1263134313540886</v>
      </c>
      <c r="M412" s="3" t="n">
        <v>111705.8823529412</v>
      </c>
      <c r="N412" s="5" t="n">
        <v>0.3135319817782124</v>
      </c>
      <c r="O412" s="3" t="n">
        <v>212863.84</v>
      </c>
      <c r="P412" s="5" t="n">
        <v>0.6397579049474083</v>
      </c>
      <c r="Q412" s="3" t="n">
        <v>148960</v>
      </c>
      <c r="R412" s="5" t="n">
        <v>0.4852140461698463</v>
      </c>
      <c r="S412" s="3" t="n">
        <v>145.6</v>
      </c>
      <c r="T412" s="5" t="n">
        <v>0.8614037816611125</v>
      </c>
      <c r="U412" s="6">
        <f>IF(OR(K412="",E412=""),"",(K412-E412)/K412)</f>
        <v/>
      </c>
      <c r="V412" s="6">
        <f>IF(OR(M412="",E412=""),"",(M412-E412)/M412)</f>
        <v/>
      </c>
      <c r="W412" s="6">
        <f>IF(OR(O412="",E412=""),"",(O412-E412)/O412)</f>
        <v/>
      </c>
      <c r="X412" s="6">
        <f>IF(OR(Q412="",E412=""),"",(Q412-E412)/Q412)</f>
        <v/>
      </c>
      <c r="Y412" s="6">
        <f>IF(OR(S412="",E412=""),"",((S412*3500)-E412)/(S412*3500))</f>
        <v/>
      </c>
      <c r="Z412" s="7" t="n"/>
    </row>
    <row r="413">
      <c r="A413" s="2" t="inlineStr">
        <is>
          <t>SECRET GARDEN</t>
        </is>
      </c>
      <c r="B413" s="2" t="inlineStr">
        <is>
          <t>I'M BLACK MESH TRIANGLE TOP</t>
        </is>
      </c>
      <c r="C413" s="2" t="inlineStr">
        <is>
          <t>213174/BLA</t>
        </is>
      </c>
      <c r="D413" s="2" t="n">
        <v>5000</v>
      </c>
      <c r="E413" s="3" t="n">
        <v>26322.15666666667</v>
      </c>
      <c r="F413" s="4" t="n">
        <v>11926</v>
      </c>
      <c r="G413" s="3">
        <f>IF(OR(E413="",F413=""),"",E413+F413)</f>
        <v/>
      </c>
      <c r="H413" s="3" t="n">
        <v>45515.30643333332</v>
      </c>
      <c r="I413" s="3" t="n">
        <v>113788.2660833333</v>
      </c>
      <c r="J413" s="3" t="n">
        <v>109900</v>
      </c>
      <c r="K413" s="3" t="n">
        <v>50794.11764705883</v>
      </c>
      <c r="L413" s="5" t="n">
        <v>0.2469963366145533</v>
      </c>
      <c r="M413" s="3" t="n">
        <v>64647.05882352941</v>
      </c>
      <c r="N413" s="5" t="n">
        <v>0.4083542644828632</v>
      </c>
      <c r="O413" s="3" t="n">
        <v>121636.48</v>
      </c>
      <c r="P413" s="5" t="n">
        <v>0.6855535718670365</v>
      </c>
      <c r="Q413" s="3" t="n">
        <v>85120</v>
      </c>
      <c r="R413" s="5" t="n">
        <v>0.550656054197995</v>
      </c>
      <c r="S413" s="3" t="n">
        <v>83.2</v>
      </c>
      <c r="T413" s="5" t="n">
        <v>0.8790227838225371</v>
      </c>
      <c r="U413" s="6">
        <f>IF(OR(K413="",E413=""),"",(K413-E413)/K413)</f>
        <v/>
      </c>
      <c r="V413" s="6">
        <f>IF(OR(M413="",E413=""),"",(M413-E413)/M413)</f>
        <v/>
      </c>
      <c r="W413" s="6">
        <f>IF(OR(O413="",E413=""),"",(O413-E413)/O413)</f>
        <v/>
      </c>
      <c r="X413" s="6">
        <f>IF(OR(Q413="",E413=""),"",(Q413-E413)/Q413)</f>
        <v/>
      </c>
      <c r="Y413" s="6">
        <f>IF(OR(S413="",E413=""),"",((S413*3500)-E413)/(S413*3500))</f>
        <v/>
      </c>
      <c r="Z413" s="7" t="n"/>
    </row>
    <row r="414">
      <c r="A414" s="2" t="inlineStr">
        <is>
          <t>SECRET GARDEN</t>
        </is>
      </c>
      <c r="B414" s="2" t="inlineStr">
        <is>
          <t>I'M BLACK MESH STRAP TIE SIDE BOTTOM</t>
        </is>
      </c>
      <c r="C414" s="2" t="inlineStr">
        <is>
          <t>213243/BLA</t>
        </is>
      </c>
      <c r="D414" s="2" t="n">
        <v>5000</v>
      </c>
      <c r="E414" s="3" t="n">
        <v>21787.91555555556</v>
      </c>
      <c r="F414" s="4" t="n">
        <v>11926</v>
      </c>
      <c r="G414" s="3">
        <f>IF(OR(E414="",F414=""),"",E414+F414)</f>
        <v/>
      </c>
      <c r="H414" s="3" t="n">
        <v>40119.55951111111</v>
      </c>
      <c r="I414" s="3" t="n">
        <v>100298.8987777778</v>
      </c>
      <c r="J414" s="3" t="n">
        <v>119900</v>
      </c>
      <c r="K414" s="3" t="n">
        <v>55415.96638655462</v>
      </c>
      <c r="L414" s="5" t="n">
        <v>0.3916209036149654</v>
      </c>
      <c r="M414" s="3" t="n">
        <v>70529.41176470587</v>
      </c>
      <c r="N414" s="5" t="n">
        <v>0.5219878528403299</v>
      </c>
      <c r="O414" s="3" t="n">
        <v>106431.92</v>
      </c>
      <c r="P414" s="5" t="n">
        <v>0.6832349209188789</v>
      </c>
      <c r="Q414" s="3" t="n">
        <v>74479.99999999999</v>
      </c>
      <c r="R414" s="5" t="n">
        <v>0.5473427019930779</v>
      </c>
      <c r="S414" s="3" t="n">
        <v>72.8</v>
      </c>
      <c r="T414" s="5" t="n">
        <v>0.8781307274596749</v>
      </c>
      <c r="U414" s="6">
        <f>IF(OR(K414="",E414=""),"",(K414-E414)/K414)</f>
        <v/>
      </c>
      <c r="V414" s="6">
        <f>IF(OR(M414="",E414=""),"",(M414-E414)/M414)</f>
        <v/>
      </c>
      <c r="W414" s="6">
        <f>IF(OR(O414="",E414=""),"",(O414-E414)/O414)</f>
        <v/>
      </c>
      <c r="X414" s="6">
        <f>IF(OR(Q414="",E414=""),"",(Q414-E414)/Q414)</f>
        <v/>
      </c>
      <c r="Y414" s="6">
        <f>IF(OR(S414="",E414=""),"",((S414*3500)-E414)/(S414*3500))</f>
        <v/>
      </c>
      <c r="Z414" s="7" t="n"/>
    </row>
    <row r="415">
      <c r="A415" s="2" t="inlineStr">
        <is>
          <t>SECRET GARDEN</t>
        </is>
      </c>
      <c r="B415" s="2" t="inlineStr">
        <is>
          <t>I'M BLACK LONG SKIRT</t>
        </is>
      </c>
      <c r="C415" s="2" t="inlineStr">
        <is>
          <t>26FA24/BLA</t>
        </is>
      </c>
      <c r="D415" s="2" t="n">
        <v>5000</v>
      </c>
      <c r="E415" s="3" t="n">
        <v>43090.69215555555</v>
      </c>
      <c r="F415" s="4" t="n">
        <v>11926</v>
      </c>
      <c r="G415" s="3">
        <f>IF(OR(E415="",F415=""),"",E415+F415)</f>
        <v/>
      </c>
      <c r="H415" s="3" t="n">
        <v>65469.86366511111</v>
      </c>
      <c r="I415" s="3" t="n">
        <v>163674.6591627778</v>
      </c>
      <c r="J415" s="3" t="n">
        <v>159900</v>
      </c>
      <c r="K415" s="3" t="n">
        <v>73903.36134453783</v>
      </c>
      <c r="L415" s="5" t="n">
        <v>0.2555590009083962</v>
      </c>
      <c r="M415" s="3" t="n">
        <v>94058.82352941176</v>
      </c>
      <c r="N415" s="5" t="n">
        <v>0.4150820721423112</v>
      </c>
      <c r="O415" s="3" t="n">
        <v>182454.72</v>
      </c>
      <c r="P415" s="5" t="n">
        <v>0.6984638591122467</v>
      </c>
      <c r="Q415" s="3" t="n">
        <v>127680</v>
      </c>
      <c r="R415" s="5" t="n">
        <v>0.5691048546714007</v>
      </c>
      <c r="S415" s="3" t="n">
        <v>124.8</v>
      </c>
      <c r="T415" s="5" t="n">
        <v>0.8839897685653771</v>
      </c>
      <c r="U415" s="6">
        <f>IF(OR(K415="",E415=""),"",(K415-E415)/K415)</f>
        <v/>
      </c>
      <c r="V415" s="6">
        <f>IF(OR(M415="",E415=""),"",(M415-E415)/M415)</f>
        <v/>
      </c>
      <c r="W415" s="6">
        <f>IF(OR(O415="",E415=""),"",(O415-E415)/O415)</f>
        <v/>
      </c>
      <c r="X415" s="6">
        <f>IF(OR(Q415="",E415=""),"",(Q415-E415)/Q415)</f>
        <v/>
      </c>
      <c r="Y415" s="6">
        <f>IF(OR(S415="",E415=""),"",((S415*3500)-E415)/(S415*3500))</f>
        <v/>
      </c>
      <c r="Z415" s="7" t="n"/>
    </row>
    <row r="416">
      <c r="A416" s="2" t="inlineStr">
        <is>
          <t>SECRET GARDEN</t>
        </is>
      </c>
      <c r="B416" s="2" t="inlineStr">
        <is>
          <t>I'M MILITAR DOUBLE STRAP TRIANGLE TOP</t>
        </is>
      </c>
      <c r="C416" s="2" t="inlineStr">
        <is>
          <t>263170/IMIL</t>
        </is>
      </c>
      <c r="D416" s="2" t="n">
        <v>5000</v>
      </c>
      <c r="E416" s="3" t="n">
        <v>31204.67815384615</v>
      </c>
      <c r="F416" s="4" t="n">
        <v>11926</v>
      </c>
      <c r="G416" s="3">
        <f>IF(OR(E416="",F416=""),"",E416+F416)</f>
        <v/>
      </c>
      <c r="H416" s="3" t="n">
        <v>51325.50700307692</v>
      </c>
      <c r="I416" s="3" t="n">
        <v>128313.7675076923</v>
      </c>
      <c r="J416" s="3" t="n">
        <v>109900</v>
      </c>
      <c r="K416" s="3" t="n">
        <v>50794.11764705883</v>
      </c>
      <c r="L416" s="5" t="n">
        <v>0.1508725783261325</v>
      </c>
      <c r="M416" s="3" t="n">
        <v>64647.05882352941</v>
      </c>
      <c r="N416" s="5" t="n">
        <v>0.3328284543991041</v>
      </c>
      <c r="O416" s="3" t="n">
        <v>121636.48</v>
      </c>
      <c r="P416" s="5" t="n">
        <v>0.645413299087197</v>
      </c>
      <c r="Q416" s="3" t="n">
        <v>85120</v>
      </c>
      <c r="R416" s="5" t="n">
        <v>0.4932956043956044</v>
      </c>
      <c r="S416" s="3" t="n">
        <v>83.2</v>
      </c>
      <c r="T416" s="5" t="n">
        <v>0.8635795857988164</v>
      </c>
      <c r="U416" s="6">
        <f>IF(OR(K416="",E416=""),"",(K416-E416)/K416)</f>
        <v/>
      </c>
      <c r="V416" s="6">
        <f>IF(OR(M416="",E416=""),"",(M416-E416)/M416)</f>
        <v/>
      </c>
      <c r="W416" s="6">
        <f>IF(OR(O416="",E416=""),"",(O416-E416)/O416)</f>
        <v/>
      </c>
      <c r="X416" s="6">
        <f>IF(OR(Q416="",E416=""),"",(Q416-E416)/Q416)</f>
        <v/>
      </c>
      <c r="Y416" s="6">
        <f>IF(OR(S416="",E416=""),"",((S416*3500)-E416)/(S416*3500))</f>
        <v/>
      </c>
      <c r="Z416" s="7" t="n"/>
    </row>
    <row r="417">
      <c r="A417" s="2" t="inlineStr">
        <is>
          <t>SECRET GARDEN</t>
        </is>
      </c>
      <c r="B417" s="2" t="inlineStr">
        <is>
          <t>I'M MILITAR STRAP TIE SIDE BOTTOM</t>
        </is>
      </c>
      <c r="C417" s="2" t="inlineStr">
        <is>
          <t>263236/IMIL</t>
        </is>
      </c>
      <c r="D417" s="2" t="n">
        <v>5000</v>
      </c>
      <c r="E417" s="3" t="n">
        <v>28313.72014151925</v>
      </c>
      <c r="F417" s="4" t="n">
        <v>11926</v>
      </c>
      <c r="G417" s="3">
        <f>IF(OR(E417="",F417=""),"",E417+F417)</f>
        <v/>
      </c>
      <c r="H417" s="3" t="n">
        <v>47885.26696840791</v>
      </c>
      <c r="I417" s="3" t="n">
        <v>119713.1674210198</v>
      </c>
      <c r="J417" s="3" t="n">
        <v>119900</v>
      </c>
      <c r="K417" s="3" t="n">
        <v>55415.96638655462</v>
      </c>
      <c r="L417" s="5" t="n">
        <v>0.2738605357736309</v>
      </c>
      <c r="M417" s="3" t="n">
        <v>70529.41176470587</v>
      </c>
      <c r="N417" s="5" t="n">
        <v>0.4294618495364242</v>
      </c>
      <c r="O417" s="3" t="n">
        <v>114034.2</v>
      </c>
      <c r="P417" s="5" t="n">
        <v>0.6471258610003029</v>
      </c>
      <c r="Q417" s="3" t="n">
        <v>79800</v>
      </c>
      <c r="R417" s="5" t="n">
        <v>0.4957428553694329</v>
      </c>
      <c r="S417" s="3" t="n">
        <v>78</v>
      </c>
      <c r="T417" s="5" t="n">
        <v>0.8642384610610011</v>
      </c>
      <c r="U417" s="6">
        <f>IF(OR(K417="",E417=""),"",(K417-E417)/K417)</f>
        <v/>
      </c>
      <c r="V417" s="6">
        <f>IF(OR(M417="",E417=""),"",(M417-E417)/M417)</f>
        <v/>
      </c>
      <c r="W417" s="6">
        <f>IF(OR(O417="",E417=""),"",(O417-E417)/O417)</f>
        <v/>
      </c>
      <c r="X417" s="6">
        <f>IF(OR(Q417="",E417=""),"",(Q417-E417)/Q417)</f>
        <v/>
      </c>
      <c r="Y417" s="6">
        <f>IF(OR(S417="",E417=""),"",((S417*3500)-E417)/(S417*3500))</f>
        <v/>
      </c>
      <c r="Z417" s="7" t="n"/>
    </row>
    <row r="418">
      <c r="A418" s="2" t="inlineStr">
        <is>
          <t>SECRET GARDEN</t>
        </is>
      </c>
      <c r="B418" s="2" t="inlineStr">
        <is>
          <t>I'M MILITAR STRAIGHT ONE PIECE</t>
        </is>
      </c>
      <c r="C418" s="2" t="inlineStr">
        <is>
          <t>263370/IMIL</t>
        </is>
      </c>
      <c r="D418" s="2" t="n">
        <v>5000</v>
      </c>
      <c r="E418" s="3" t="n">
        <v>42873.6112</v>
      </c>
      <c r="F418" s="4" t="n">
        <v>11926</v>
      </c>
      <c r="G418" s="3">
        <f>IF(OR(E418="",F418=""),"",E418+F418)</f>
        <v/>
      </c>
      <c r="H418" s="3" t="n">
        <v>65211.537328</v>
      </c>
      <c r="I418" s="3" t="n">
        <v>163028.84332</v>
      </c>
      <c r="J418" s="3" t="n">
        <v>169900</v>
      </c>
      <c r="K418" s="3" t="n">
        <v>78525.21008403362</v>
      </c>
      <c r="L418" s="5" t="n">
        <v>0.3021398969661299</v>
      </c>
      <c r="M418" s="3" t="n">
        <v>99941.17647058824</v>
      </c>
      <c r="N418" s="5" t="n">
        <v>0.4516813476162448</v>
      </c>
      <c r="O418" s="3" t="n">
        <v>182454.72</v>
      </c>
      <c r="P418" s="5" t="n">
        <v>0.6996536389960204</v>
      </c>
      <c r="Q418" s="3" t="n">
        <v>127680</v>
      </c>
      <c r="R418" s="5" t="n">
        <v>0.5708050501253132</v>
      </c>
      <c r="S418" s="3" t="n">
        <v>124.8</v>
      </c>
      <c r="T418" s="5" t="n">
        <v>0.8844475134952767</v>
      </c>
      <c r="U418" s="6">
        <f>IF(OR(K418="",E418=""),"",(K418-E418)/K418)</f>
        <v/>
      </c>
      <c r="V418" s="6">
        <f>IF(OR(M418="",E418=""),"",(M418-E418)/M418)</f>
        <v/>
      </c>
      <c r="W418" s="6">
        <f>IF(OR(O418="",E418=""),"",(O418-E418)/O418)</f>
        <v/>
      </c>
      <c r="X418" s="6">
        <f>IF(OR(Q418="",E418=""),"",(Q418-E418)/Q418)</f>
        <v/>
      </c>
      <c r="Y418" s="6">
        <f>IF(OR(S418="",E418=""),"",((S418*3500)-E418)/(S418*3500))</f>
        <v/>
      </c>
      <c r="Z418" s="7" t="n"/>
    </row>
    <row r="419">
      <c r="A419" s="2" t="inlineStr">
        <is>
          <t>SECRET GARDEN</t>
        </is>
      </c>
      <c r="B419" s="2" t="inlineStr">
        <is>
          <t>I'M MILITAR HALF SLEEVED BODY</t>
        </is>
      </c>
      <c r="C419" s="2" t="inlineStr">
        <is>
          <t>265024/IMIL</t>
        </is>
      </c>
      <c r="D419" s="2" t="n">
        <v>5000</v>
      </c>
      <c r="E419" s="3" t="n">
        <v>45419.34876811595</v>
      </c>
      <c r="F419" s="4" t="n">
        <v>11926</v>
      </c>
      <c r="G419" s="3">
        <f>IF(OR(E419="",F419=""),"",E419+F419)</f>
        <v/>
      </c>
      <c r="H419" s="3" t="n">
        <v>68240.96503405797</v>
      </c>
      <c r="I419" s="3" t="n">
        <v>170602.4125851449</v>
      </c>
      <c r="J419" s="3" t="n">
        <v>169900</v>
      </c>
      <c r="K419" s="3" t="n">
        <v>78525.21008403362</v>
      </c>
      <c r="L419" s="5" t="n">
        <v>0.2697205304290441</v>
      </c>
      <c r="M419" s="3" t="n">
        <v>99941.17647058824</v>
      </c>
      <c r="N419" s="5" t="n">
        <v>0.426208988194249</v>
      </c>
      <c r="O419" s="3" t="n">
        <v>182454.72</v>
      </c>
      <c r="P419" s="5" t="n">
        <v>0.6857009302466061</v>
      </c>
      <c r="Q419" s="3" t="n">
        <v>127680</v>
      </c>
      <c r="R419" s="5" t="n">
        <v>0.5508666293224002</v>
      </c>
      <c r="S419" s="3" t="n">
        <v>124.8</v>
      </c>
      <c r="T419" s="5" t="n">
        <v>0.8790794771252617</v>
      </c>
      <c r="U419" s="6">
        <f>IF(OR(K419="",E419=""),"",(K419-E419)/K419)</f>
        <v/>
      </c>
      <c r="V419" s="6">
        <f>IF(OR(M419="",E419=""),"",(M419-E419)/M419)</f>
        <v/>
      </c>
      <c r="W419" s="6">
        <f>IF(OR(O419="",E419=""),"",(O419-E419)/O419)</f>
        <v/>
      </c>
      <c r="X419" s="6">
        <f>IF(OR(Q419="",E419=""),"",(Q419-E419)/Q419)</f>
        <v/>
      </c>
      <c r="Y419" s="6">
        <f>IF(OR(S419="",E419=""),"",((S419*3500)-E419)/(S419*3500))</f>
        <v/>
      </c>
      <c r="Z419" s="7" t="n"/>
    </row>
    <row r="420">
      <c r="A420" s="2" t="inlineStr">
        <is>
          <t>SECRET GARDEN</t>
        </is>
      </c>
      <c r="B420" s="2" t="inlineStr">
        <is>
          <t>I'M MILITAR HALF SLEEVED CLIP BODY</t>
        </is>
      </c>
      <c r="C420" s="2" t="inlineStr">
        <is>
          <t>265025/IMIL</t>
        </is>
      </c>
      <c r="D420" s="2" t="n">
        <v>5000</v>
      </c>
      <c r="E420" s="3" t="n">
        <v>45419.34876811595</v>
      </c>
      <c r="F420" s="4" t="n">
        <v>11926</v>
      </c>
      <c r="G420" s="3">
        <f>IF(OR(E420="",F420=""),"",E420+F420)</f>
        <v/>
      </c>
      <c r="H420" s="3" t="n">
        <v>68240.96503405797</v>
      </c>
      <c r="I420" s="3" t="n">
        <v>170602.4125851449</v>
      </c>
      <c r="J420" s="3" t="n">
        <v>169900</v>
      </c>
      <c r="K420" s="3" t="n">
        <v>78525.21008403362</v>
      </c>
      <c r="L420" s="5" t="n">
        <v>0.2697205304290441</v>
      </c>
      <c r="M420" s="3" t="n">
        <v>99941.17647058824</v>
      </c>
      <c r="N420" s="5" t="n">
        <v>0.426208988194249</v>
      </c>
      <c r="O420" s="3" t="n">
        <v>182454.72</v>
      </c>
      <c r="P420" s="5" t="n">
        <v>0.6857009302466061</v>
      </c>
      <c r="Q420" s="3" t="n">
        <v>127680</v>
      </c>
      <c r="R420" s="5" t="n">
        <v>0.5508666293224002</v>
      </c>
      <c r="S420" s="3" t="n">
        <v>124.8</v>
      </c>
      <c r="T420" s="5" t="n">
        <v>0.8790794771252617</v>
      </c>
      <c r="U420" s="6">
        <f>IF(OR(K420="",E420=""),"",(K420-E420)/K420)</f>
        <v/>
      </c>
      <c r="V420" s="6">
        <f>IF(OR(M420="",E420=""),"",(M420-E420)/M420)</f>
        <v/>
      </c>
      <c r="W420" s="6">
        <f>IF(OR(O420="",E420=""),"",(O420-E420)/O420)</f>
        <v/>
      </c>
      <c r="X420" s="6">
        <f>IF(OR(Q420="",E420=""),"",(Q420-E420)/Q420)</f>
        <v/>
      </c>
      <c r="Y420" s="6">
        <f>IF(OR(S420="",E420=""),"",((S420*3500)-E420)/(S420*3500))</f>
        <v/>
      </c>
      <c r="Z420" s="7" t="n"/>
    </row>
    <row r="421">
      <c r="A421" s="2" t="inlineStr">
        <is>
          <t>SECRET GARDEN</t>
        </is>
      </c>
      <c r="B421" s="2" t="inlineStr">
        <is>
          <t>I'M MILITAR SHIRT</t>
        </is>
      </c>
      <c r="C421" s="2" t="inlineStr">
        <is>
          <t>26CA21/IMIL</t>
        </is>
      </c>
      <c r="D421" s="2" t="n">
        <v>5000</v>
      </c>
      <c r="E421" s="3" t="n">
        <v>47099.20661111111</v>
      </c>
      <c r="F421" s="4" t="n">
        <v>11926</v>
      </c>
      <c r="G421" s="3">
        <f>IF(OR(E421="",F421=""),"",E421+F421)</f>
        <v/>
      </c>
      <c r="H421" s="3" t="n">
        <v>70239.99586722223</v>
      </c>
      <c r="I421" s="3" t="n">
        <v>175599.9896680555</v>
      </c>
      <c r="J421" s="3" t="n">
        <v>169900</v>
      </c>
      <c r="K421" s="3" t="n">
        <v>78525.21008403362</v>
      </c>
      <c r="L421" s="5" t="n">
        <v>0.2483279376400854</v>
      </c>
      <c r="M421" s="3" t="n">
        <v>99941.17647058824</v>
      </c>
      <c r="N421" s="5" t="n">
        <v>0.4094005224314957</v>
      </c>
      <c r="O421" s="3" t="n">
        <v>190057</v>
      </c>
      <c r="P421" s="5" t="n">
        <v>0.6894341875799833</v>
      </c>
      <c r="Q421" s="3" t="n">
        <v>133000</v>
      </c>
      <c r="R421" s="5" t="n">
        <v>0.5562014540517961</v>
      </c>
      <c r="S421" s="3" t="n">
        <v>130</v>
      </c>
      <c r="T421" s="5" t="n">
        <v>0.8805157760908682</v>
      </c>
      <c r="U421" s="6">
        <f>IF(OR(K421="",E421=""),"",(K421-E421)/K421)</f>
        <v/>
      </c>
      <c r="V421" s="6">
        <f>IF(OR(M421="",E421=""),"",(M421-E421)/M421)</f>
        <v/>
      </c>
      <c r="W421" s="6">
        <f>IF(OR(O421="",E421=""),"",(O421-E421)/O421)</f>
        <v/>
      </c>
      <c r="X421" s="6">
        <f>IF(OR(Q421="",E421=""),"",(Q421-E421)/Q421)</f>
        <v/>
      </c>
      <c r="Y421" s="6">
        <f>IF(OR(S421="",E421=""),"",((S421*3500)-E421)/(S421*3500))</f>
        <v/>
      </c>
      <c r="Z421" s="7" t="n"/>
    </row>
    <row r="422">
      <c r="A422" s="2" t="inlineStr">
        <is>
          <t>SECRET GARDEN</t>
        </is>
      </c>
      <c r="B422" s="2" t="inlineStr">
        <is>
          <t>I'M MILITAR WRAP SKORT</t>
        </is>
      </c>
      <c r="C422" s="2" t="inlineStr">
        <is>
          <t>26FA25/IMIL</t>
        </is>
      </c>
      <c r="D422" s="2" t="n">
        <v>5000</v>
      </c>
      <c r="E422" s="3" t="n">
        <v>36274.27155172414</v>
      </c>
      <c r="F422" s="4" t="n">
        <v>11926</v>
      </c>
      <c r="G422" s="3">
        <f>IF(OR(E422="",F422=""),"",E422+F422)</f>
        <v/>
      </c>
      <c r="H422" s="3" t="n">
        <v>57358.32314655172</v>
      </c>
      <c r="I422" s="3" t="n">
        <v>143395.8078663793</v>
      </c>
      <c r="J422" s="3" t="n">
        <v>139900</v>
      </c>
      <c r="K422" s="3" t="n">
        <v>64659.66386554623</v>
      </c>
      <c r="L422" s="5" t="n">
        <v>0.2545542511332547</v>
      </c>
      <c r="M422" s="3" t="n">
        <v>82294.11764705883</v>
      </c>
      <c r="N422" s="5" t="n">
        <v>0.4142926258904143</v>
      </c>
      <c r="O422" s="3" t="n">
        <v>182454.72</v>
      </c>
      <c r="P422" s="5" t="n">
        <v>0.7358233782511948</v>
      </c>
      <c r="Q422" s="3" t="n">
        <v>127680</v>
      </c>
      <c r="R422" s="5" t="n">
        <v>0.6224916075209576</v>
      </c>
      <c r="S422" s="3" t="n">
        <v>124.8</v>
      </c>
      <c r="T422" s="5" t="n">
        <v>0.8983631251017963</v>
      </c>
      <c r="U422" s="6">
        <f>IF(OR(K422="",E422=""),"",(K422-E422)/K422)</f>
        <v/>
      </c>
      <c r="V422" s="6">
        <f>IF(OR(M422="",E422=""),"",(M422-E422)/M422)</f>
        <v/>
      </c>
      <c r="W422" s="6">
        <f>IF(OR(O422="",E422=""),"",(O422-E422)/O422)</f>
        <v/>
      </c>
      <c r="X422" s="6">
        <f>IF(OR(Q422="",E422=""),"",(Q422-E422)/Q422)</f>
        <v/>
      </c>
      <c r="Y422" s="6">
        <f>IF(OR(S422="",E422=""),"",((S422*3500)-E422)/(S422*3500))</f>
        <v/>
      </c>
      <c r="Z422" s="7" t="n"/>
    </row>
    <row r="423">
      <c r="A423" s="2" t="inlineStr">
        <is>
          <t>SECRET GARDEN</t>
        </is>
      </c>
      <c r="B423" s="2" t="inlineStr">
        <is>
          <t>I'M MILITAR MESH KNIT SHIRT</t>
        </is>
      </c>
      <c r="C423" s="2" t="inlineStr">
        <is>
          <t>26CA37/IMIL</t>
        </is>
      </c>
      <c r="D423" s="2" t="n">
        <v>5000</v>
      </c>
      <c r="E423" s="3" t="n">
        <v>37513.25555555556</v>
      </c>
      <c r="F423" s="4" t="n">
        <v>11926</v>
      </c>
      <c r="G423" s="3">
        <f>IF(OR(E423="",F423=""),"",E423+F423)</f>
        <v/>
      </c>
      <c r="H423" s="3" t="n">
        <v>58832.71411111111</v>
      </c>
      <c r="I423" s="3" t="n">
        <v>147081.7852777778</v>
      </c>
      <c r="J423" s="3" t="n">
        <v>149900</v>
      </c>
      <c r="K423" s="3" t="n">
        <v>69281.51260504202</v>
      </c>
      <c r="L423" s="5" t="n">
        <v>0.2864004595656364</v>
      </c>
      <c r="M423" s="3" t="n">
        <v>88176.4705882353</v>
      </c>
      <c r="N423" s="5" t="n">
        <v>0.4393146468015714</v>
      </c>
      <c r="O423" s="3" t="n">
        <v>152045.6</v>
      </c>
      <c r="P423" s="5" t="n">
        <v>0.674839287979688</v>
      </c>
      <c r="Q423" s="3" t="n">
        <v>106400</v>
      </c>
      <c r="R423" s="5" t="n">
        <v>0.5353453425229741</v>
      </c>
      <c r="S423" s="3" t="n">
        <v>104</v>
      </c>
      <c r="T423" s="5" t="n">
        <v>0.8749006691408007</v>
      </c>
      <c r="U423" s="6">
        <f>IF(OR(K423="",E423=""),"",(K423-E423)/K423)</f>
        <v/>
      </c>
      <c r="V423" s="6">
        <f>IF(OR(M423="",E423=""),"",(M423-E423)/M423)</f>
        <v/>
      </c>
      <c r="W423" s="6">
        <f>IF(OR(O423="",E423=""),"",(O423-E423)/O423)</f>
        <v/>
      </c>
      <c r="X423" s="6">
        <f>IF(OR(Q423="",E423=""),"",(Q423-E423)/Q423)</f>
        <v/>
      </c>
      <c r="Y423" s="6">
        <f>IF(OR(S423="",E423=""),"",((S423*3500)-E423)/(S423*3500))</f>
        <v/>
      </c>
      <c r="Z423" s="7" t="n"/>
    </row>
    <row r="424">
      <c r="A424" s="2" t="inlineStr">
        <is>
          <t>SECRET GARDEN</t>
        </is>
      </c>
      <c r="B424" s="2" t="inlineStr">
        <is>
          <t>I'M MILITAR MESH KNIT PANTS</t>
        </is>
      </c>
      <c r="C424" s="2" t="inlineStr">
        <is>
          <t>26PA26/IMIL</t>
        </is>
      </c>
      <c r="D424" s="2" t="n">
        <v>5000</v>
      </c>
      <c r="E424" s="3" t="n">
        <v>43982.96774193548</v>
      </c>
      <c r="F424" s="4" t="n">
        <v>11926</v>
      </c>
      <c r="G424" s="3">
        <f>IF(OR(E424="",F424=""),"",E424+F424)</f>
        <v/>
      </c>
      <c r="H424" s="3" t="n">
        <v>66531.67161290323</v>
      </c>
      <c r="I424" s="3" t="n">
        <v>166329.179032258</v>
      </c>
      <c r="J424" s="3" t="n">
        <v>159900</v>
      </c>
      <c r="K424" s="3" t="n">
        <v>73903.36134453783</v>
      </c>
      <c r="L424" s="5" t="n">
        <v>0.2434854555358097</v>
      </c>
      <c r="M424" s="3" t="n">
        <v>94058.82352941176</v>
      </c>
      <c r="N424" s="5" t="n">
        <v>0.4055957150638503</v>
      </c>
      <c r="O424" s="3" t="n">
        <v>174852.44</v>
      </c>
      <c r="P424" s="5" t="n">
        <v>0.6802505716137819</v>
      </c>
      <c r="Q424" s="3" t="n">
        <v>122360</v>
      </c>
      <c r="R424" s="5" t="n">
        <v>0.5430780668360944</v>
      </c>
      <c r="S424" s="3" t="n">
        <v>119.6</v>
      </c>
      <c r="T424" s="5" t="n">
        <v>0.8769825564558716</v>
      </c>
      <c r="U424" s="6">
        <f>IF(OR(K424="",E424=""),"",(K424-E424)/K424)</f>
        <v/>
      </c>
      <c r="V424" s="6">
        <f>IF(OR(M424="",E424=""),"",(M424-E424)/M424)</f>
        <v/>
      </c>
      <c r="W424" s="6">
        <f>IF(OR(O424="",E424=""),"",(O424-E424)/O424)</f>
        <v/>
      </c>
      <c r="X424" s="6">
        <f>IF(OR(Q424="",E424=""),"",(Q424-E424)/Q424)</f>
        <v/>
      </c>
      <c r="Y424" s="6">
        <f>IF(OR(S424="",E424=""),"",((S424*3500)-E424)/(S424*3500))</f>
        <v/>
      </c>
      <c r="Z424" s="7" t="n"/>
    </row>
    <row r="425">
      <c r="A425" s="2" t="inlineStr">
        <is>
          <t>SECRET GARDEN</t>
        </is>
      </c>
      <c r="B425" s="2" t="inlineStr">
        <is>
          <t>MOMPOSSINA T-SHIRT</t>
        </is>
      </c>
      <c r="C425" s="2" t="inlineStr">
        <is>
          <t>26TSH20/MOMP</t>
        </is>
      </c>
      <c r="D425" s="2" t="n">
        <v>5000</v>
      </c>
      <c r="E425" s="3" t="n">
        <v>42000</v>
      </c>
      <c r="F425" s="4" t="n">
        <v>11926</v>
      </c>
      <c r="G425" s="3">
        <f>IF(OR(E425="",F425=""),"",E425+F425)</f>
        <v/>
      </c>
      <c r="H425" s="3" t="n">
        <v>64171.94</v>
      </c>
      <c r="I425" s="3" t="n">
        <v>160429.85</v>
      </c>
      <c r="J425" s="3" t="n">
        <v>129900</v>
      </c>
      <c r="K425" s="3" t="n">
        <v>60037.81512605043</v>
      </c>
      <c r="L425" s="5" t="n">
        <v>0.1017994261319898</v>
      </c>
      <c r="M425" s="3" t="n">
        <v>76411.76470588235</v>
      </c>
      <c r="N425" s="5" t="n">
        <v>0.2942709776751347</v>
      </c>
      <c r="O425" s="3" t="n">
        <v>159647.88</v>
      </c>
      <c r="P425" s="5" t="n">
        <v>0.6622191287475913</v>
      </c>
      <c r="Q425" s="3" t="n">
        <v>111720</v>
      </c>
      <c r="R425" s="5" t="n">
        <v>0.5173111349803079</v>
      </c>
      <c r="S425" s="3" t="n">
        <v>109.2</v>
      </c>
      <c r="T425" s="5" t="n">
        <v>0.8700453055716214</v>
      </c>
      <c r="U425" s="6">
        <f>IF(OR(K425="",E425=""),"",(K425-E425)/K425)</f>
        <v/>
      </c>
      <c r="V425" s="6">
        <f>IF(OR(M425="",E425=""),"",(M425-E425)/M425)</f>
        <v/>
      </c>
      <c r="W425" s="6">
        <f>IF(OR(O425="",E425=""),"",(O425-E425)/O425)</f>
        <v/>
      </c>
      <c r="X425" s="6">
        <f>IF(OR(Q425="",E425=""),"",(Q425-E425)/Q425)</f>
        <v/>
      </c>
      <c r="Y425" s="6">
        <f>IF(OR(S425="",E425=""),"",((S425*3500)-E425)/(S425*3500))</f>
        <v/>
      </c>
      <c r="Z425" s="7" t="n"/>
    </row>
    <row r="426">
      <c r="A426" s="2" t="inlineStr">
        <is>
          <t>SECRET GARDEN</t>
        </is>
      </c>
      <c r="B426" s="2" t="inlineStr">
        <is>
          <t>I'M WHITE EMBROIDERED T-SHIRT</t>
        </is>
      </c>
      <c r="C426" s="2" t="inlineStr">
        <is>
          <t>26TSH21/WHT</t>
        </is>
      </c>
      <c r="D426" s="2" t="n">
        <v>5000</v>
      </c>
      <c r="E426" s="3" t="n">
        <v>37620</v>
      </c>
      <c r="F426" s="4" t="n">
        <v>11926</v>
      </c>
      <c r="G426" s="3">
        <f>IF(OR(E426="",F426=""),"",E426+F426)</f>
        <v/>
      </c>
      <c r="H426" s="3" t="n">
        <v>58959.74</v>
      </c>
      <c r="I426" s="3" t="n">
        <v>147399.35</v>
      </c>
      <c r="J426" s="3" t="n">
        <v>129900</v>
      </c>
      <c r="K426" s="3" t="n">
        <v>60037.81512605043</v>
      </c>
      <c r="L426" s="5" t="n">
        <v>0.1747534467072575</v>
      </c>
      <c r="M426" s="3" t="n">
        <v>76411.76470588235</v>
      </c>
      <c r="N426" s="5" t="n">
        <v>0.3515919938414164</v>
      </c>
      <c r="O426" s="3" t="n">
        <v>152045.6</v>
      </c>
      <c r="P426" s="5" t="n">
        <v>0.6741372325144562</v>
      </c>
      <c r="Q426" s="3" t="n">
        <v>106400</v>
      </c>
      <c r="R426" s="5" t="n">
        <v>0.5343421052631578</v>
      </c>
      <c r="S426" s="3" t="n">
        <v>104</v>
      </c>
      <c r="T426" s="5" t="n">
        <v>0.8746305668016194</v>
      </c>
      <c r="U426" s="6">
        <f>IF(OR(K426="",E426=""),"",(K426-E426)/K426)</f>
        <v/>
      </c>
      <c r="V426" s="6">
        <f>IF(OR(M426="",E426=""),"",(M426-E426)/M426)</f>
        <v/>
      </c>
      <c r="W426" s="6">
        <f>IF(OR(O426="",E426=""),"",(O426-E426)/O426)</f>
        <v/>
      </c>
      <c r="X426" s="6">
        <f>IF(OR(Q426="",E426=""),"",(Q426-E426)/Q426)</f>
        <v/>
      </c>
      <c r="Y426" s="6">
        <f>IF(OR(S426="",E426=""),"",((S426*3500)-E426)/(S426*3500))</f>
        <v/>
      </c>
      <c r="Z426" s="7" t="n"/>
    </row>
    <row r="427">
      <c r="A427" s="2" t="inlineStr">
        <is>
          <t>SECRET GARDEN</t>
        </is>
      </c>
      <c r="B427" s="2" t="inlineStr">
        <is>
          <t>I'M BLACK EMBROIDERED T-SHIRT</t>
        </is>
      </c>
      <c r="C427" s="2" t="inlineStr">
        <is>
          <t>26TSH21/BLA</t>
        </is>
      </c>
      <c r="D427" s="2" t="n">
        <v>5000</v>
      </c>
      <c r="E427" s="3" t="n">
        <v>37620</v>
      </c>
      <c r="F427" s="4" t="n">
        <v>11926</v>
      </c>
      <c r="G427" s="3">
        <f>IF(OR(E427="",F427=""),"",E427+F427)</f>
        <v/>
      </c>
      <c r="H427" s="3" t="n">
        <v>58959.74</v>
      </c>
      <c r="I427" s="3" t="n">
        <v>147399.35</v>
      </c>
      <c r="J427" s="3" t="n">
        <v>129900</v>
      </c>
      <c r="K427" s="3" t="n">
        <v>60037.81512605043</v>
      </c>
      <c r="L427" s="5" t="n">
        <v>0.1747534467072575</v>
      </c>
      <c r="M427" s="3" t="n">
        <v>76411.76470588235</v>
      </c>
      <c r="N427" s="5" t="n">
        <v>0.3515919938414164</v>
      </c>
      <c r="O427" s="3" t="n">
        <v>152045.6</v>
      </c>
      <c r="P427" s="5" t="n">
        <v>0.6741372325144562</v>
      </c>
      <c r="Q427" s="3" t="n">
        <v>106400</v>
      </c>
      <c r="R427" s="5" t="n">
        <v>0.5343421052631578</v>
      </c>
      <c r="S427" s="3" t="n">
        <v>104</v>
      </c>
      <c r="T427" s="5" t="n">
        <v>0.8746305668016194</v>
      </c>
      <c r="U427" s="6">
        <f>IF(OR(K427="",E427=""),"",(K427-E427)/K427)</f>
        <v/>
      </c>
      <c r="V427" s="6">
        <f>IF(OR(M427="",E427=""),"",(M427-E427)/M427)</f>
        <v/>
      </c>
      <c r="W427" s="6">
        <f>IF(OR(O427="",E427=""),"",(O427-E427)/O427)</f>
        <v/>
      </c>
      <c r="X427" s="6">
        <f>IF(OR(Q427="",E427=""),"",(Q427-E427)/Q427)</f>
        <v/>
      </c>
      <c r="Y427" s="6">
        <f>IF(OR(S427="",E427=""),"",((S427*3500)-E427)/(S427*3500))</f>
        <v/>
      </c>
      <c r="Z427" s="7" t="n"/>
    </row>
    <row r="428">
      <c r="A428" s="2" t="inlineStr">
        <is>
          <t>SECRET GARDEN</t>
        </is>
      </c>
      <c r="B428" s="2" t="inlineStr">
        <is>
          <t>SOUL SHINE BLACK T-SHIRT</t>
        </is>
      </c>
      <c r="C428" s="2" t="inlineStr">
        <is>
          <t>26TSH20/SUBL</t>
        </is>
      </c>
      <c r="D428" s="2" t="n">
        <v>5000</v>
      </c>
      <c r="E428" s="3" t="n">
        <v>42000</v>
      </c>
      <c r="F428" s="4" t="n">
        <v>11926</v>
      </c>
      <c r="G428" s="3">
        <f>IF(OR(E428="",F428=""),"",E428+F428)</f>
        <v/>
      </c>
      <c r="H428" s="3" t="n">
        <v>64171.94</v>
      </c>
      <c r="I428" s="3" t="n">
        <v>160429.85</v>
      </c>
      <c r="J428" s="3" t="n">
        <v>129900</v>
      </c>
      <c r="K428" s="3" t="n">
        <v>60037.81512605043</v>
      </c>
      <c r="L428" s="5" t="n">
        <v>0.1017994261319898</v>
      </c>
      <c r="M428" s="3" t="n">
        <v>76411.76470588235</v>
      </c>
      <c r="N428" s="5" t="n">
        <v>0.2942709776751347</v>
      </c>
      <c r="O428" s="3" t="n">
        <v>159647.88</v>
      </c>
      <c r="P428" s="5" t="n">
        <v>0.6622191287475913</v>
      </c>
      <c r="Q428" s="3" t="n">
        <v>111720</v>
      </c>
      <c r="R428" s="5" t="n">
        <v>0.5173111349803079</v>
      </c>
      <c r="S428" s="3" t="n">
        <v>109.2</v>
      </c>
      <c r="T428" s="5" t="n">
        <v>0.8700453055716214</v>
      </c>
      <c r="U428" s="6">
        <f>IF(OR(K428="",E428=""),"",(K428-E428)/K428)</f>
        <v/>
      </c>
      <c r="V428" s="6">
        <f>IF(OR(M428="",E428=""),"",(M428-E428)/M428)</f>
        <v/>
      </c>
      <c r="W428" s="6">
        <f>IF(OR(O428="",E428=""),"",(O428-E428)/O428)</f>
        <v/>
      </c>
      <c r="X428" s="6">
        <f>IF(OR(Q428="",E428=""),"",(Q428-E428)/Q428)</f>
        <v/>
      </c>
      <c r="Y428" s="6">
        <f>IF(OR(S428="",E428=""),"",((S428*3500)-E428)/(S428*3500))</f>
        <v/>
      </c>
      <c r="Z428" s="7" t="n"/>
    </row>
    <row r="429">
      <c r="A429" s="2" t="inlineStr">
        <is>
          <t>SECRET GARDEN</t>
        </is>
      </c>
      <c r="B429" s="2" t="inlineStr">
        <is>
          <t>SOUL SHINE WHITE T-SHIRT</t>
        </is>
      </c>
      <c r="C429" s="2" t="inlineStr">
        <is>
          <t>26TSH20/SUWH</t>
        </is>
      </c>
      <c r="D429" s="2" t="n">
        <v>5000</v>
      </c>
      <c r="E429" s="3" t="n">
        <v>42000</v>
      </c>
      <c r="F429" s="4" t="n">
        <v>11926</v>
      </c>
      <c r="G429" s="3">
        <f>IF(OR(E429="",F429=""),"",E429+F429)</f>
        <v/>
      </c>
      <c r="H429" s="3" t="n">
        <v>64171.94</v>
      </c>
      <c r="I429" s="3" t="n">
        <v>160429.85</v>
      </c>
      <c r="J429" s="3" t="n">
        <v>129900</v>
      </c>
      <c r="K429" s="3" t="n">
        <v>60037.81512605043</v>
      </c>
      <c r="L429" s="5" t="n">
        <v>0.1017994261319898</v>
      </c>
      <c r="M429" s="3" t="n">
        <v>76411.76470588235</v>
      </c>
      <c r="N429" s="5" t="n">
        <v>0.2942709776751347</v>
      </c>
      <c r="O429" s="3" t="n">
        <v>159647.88</v>
      </c>
      <c r="P429" s="5" t="n">
        <v>0.6622191287475913</v>
      </c>
      <c r="Q429" s="3" t="n">
        <v>111720</v>
      </c>
      <c r="R429" s="5" t="n">
        <v>0.5173111349803079</v>
      </c>
      <c r="S429" s="3" t="n">
        <v>109.2</v>
      </c>
      <c r="T429" s="5" t="n">
        <v>0.8700453055716214</v>
      </c>
      <c r="U429" s="6">
        <f>IF(OR(K429="",E429=""),"",(K429-E429)/K429)</f>
        <v/>
      </c>
      <c r="V429" s="6">
        <f>IF(OR(M429="",E429=""),"",(M429-E429)/M429)</f>
        <v/>
      </c>
      <c r="W429" s="6">
        <f>IF(OR(O429="",E429=""),"",(O429-E429)/O429)</f>
        <v/>
      </c>
      <c r="X429" s="6">
        <f>IF(OR(Q429="",E429=""),"",(Q429-E429)/Q429)</f>
        <v/>
      </c>
      <c r="Y429" s="6">
        <f>IF(OR(S429="",E429=""),"",((S429*3500)-E429)/(S429*3500))</f>
        <v/>
      </c>
      <c r="Z429" s="7" t="n"/>
    </row>
    <row r="430">
      <c r="A430" s="2" t="inlineStr">
        <is>
          <t>SECRET GARDEN</t>
        </is>
      </c>
      <c r="B430" s="2" t="inlineStr">
        <is>
          <t>SYMBOLS T-SHIRT</t>
        </is>
      </c>
      <c r="C430" s="2" t="inlineStr">
        <is>
          <t>26TSH20/SYMW</t>
        </is>
      </c>
      <c r="D430" s="2" t="n">
        <v>5000</v>
      </c>
      <c r="E430" s="3" t="n">
        <v>42000</v>
      </c>
      <c r="F430" s="4" t="n">
        <v>11926</v>
      </c>
      <c r="G430" s="3">
        <f>IF(OR(E430="",F430=""),"",E430+F430)</f>
        <v/>
      </c>
      <c r="H430" s="3" t="n">
        <v>64171.94</v>
      </c>
      <c r="I430" s="3" t="n">
        <v>160429.85</v>
      </c>
      <c r="J430" s="3" t="n">
        <v>129900</v>
      </c>
      <c r="K430" s="3" t="n">
        <v>60037.81512605043</v>
      </c>
      <c r="L430" s="5" t="n">
        <v>0.1017994261319898</v>
      </c>
      <c r="M430" s="3" t="n">
        <v>76411.76470588235</v>
      </c>
      <c r="N430" s="5" t="n">
        <v>0.2942709776751347</v>
      </c>
      <c r="O430" s="3" t="n">
        <v>159647.88</v>
      </c>
      <c r="P430" s="5" t="n">
        <v>0.6622191287475913</v>
      </c>
      <c r="Q430" s="3" t="n">
        <v>111720</v>
      </c>
      <c r="R430" s="5" t="n">
        <v>0.5173111349803079</v>
      </c>
      <c r="S430" s="3" t="n">
        <v>109.2</v>
      </c>
      <c r="T430" s="5" t="n">
        <v>0.8700453055716214</v>
      </c>
      <c r="U430" s="6">
        <f>IF(OR(K430="",E430=""),"",(K430-E430)/K430)</f>
        <v/>
      </c>
      <c r="V430" s="6">
        <f>IF(OR(M430="",E430=""),"",(M430-E430)/M430)</f>
        <v/>
      </c>
      <c r="W430" s="6">
        <f>IF(OR(O430="",E430=""),"",(O430-E430)/O430)</f>
        <v/>
      </c>
      <c r="X430" s="6">
        <f>IF(OR(Q430="",E430=""),"",(Q430-E430)/Q430)</f>
        <v/>
      </c>
      <c r="Y430" s="6">
        <f>IF(OR(S430="",E430=""),"",((S430*3500)-E430)/(S430*3500))</f>
        <v/>
      </c>
      <c r="Z430" s="7" t="n"/>
    </row>
    <row r="431">
      <c r="A431" s="2" t="inlineStr">
        <is>
          <t>SECRET GARDEN</t>
        </is>
      </c>
      <c r="B431" s="2" t="inlineStr">
        <is>
          <t>GARDEN BLACK T-SHIRT</t>
        </is>
      </c>
      <c r="C431" s="2" t="inlineStr">
        <is>
          <t>26TSH20/GABL</t>
        </is>
      </c>
      <c r="D431" s="2" t="n">
        <v>5000</v>
      </c>
      <c r="E431" s="3" t="n">
        <v>42000</v>
      </c>
      <c r="F431" s="4" t="n">
        <v>11926</v>
      </c>
      <c r="G431" s="3">
        <f>IF(OR(E431="",F431=""),"",E431+F431)</f>
        <v/>
      </c>
      <c r="H431" s="3" t="n">
        <v>64171.94</v>
      </c>
      <c r="I431" s="3" t="n">
        <v>160429.85</v>
      </c>
      <c r="J431" s="3" t="n">
        <v>129900</v>
      </c>
      <c r="K431" s="3" t="n">
        <v>60037.81512605043</v>
      </c>
      <c r="L431" s="5" t="n">
        <v>0.1017994261319898</v>
      </c>
      <c r="M431" s="3" t="n">
        <v>76411.76470588235</v>
      </c>
      <c r="N431" s="5" t="n">
        <v>0.2942709776751347</v>
      </c>
      <c r="O431" s="3" t="n">
        <v>159647.88</v>
      </c>
      <c r="P431" s="5" t="n">
        <v>0.6622191287475913</v>
      </c>
      <c r="Q431" s="3" t="n">
        <v>111720</v>
      </c>
      <c r="R431" s="5" t="n">
        <v>0.5173111349803079</v>
      </c>
      <c r="S431" s="3" t="n">
        <v>109.2</v>
      </c>
      <c r="T431" s="5" t="n">
        <v>0.8700453055716214</v>
      </c>
      <c r="U431" s="6">
        <f>IF(OR(K431="",E431=""),"",(K431-E431)/K431)</f>
        <v/>
      </c>
      <c r="V431" s="6">
        <f>IF(OR(M431="",E431=""),"",(M431-E431)/M431)</f>
        <v/>
      </c>
      <c r="W431" s="6">
        <f>IF(OR(O431="",E431=""),"",(O431-E431)/O431)</f>
        <v/>
      </c>
      <c r="X431" s="6">
        <f>IF(OR(Q431="",E431=""),"",(Q431-E431)/Q431)</f>
        <v/>
      </c>
      <c r="Y431" s="6">
        <f>IF(OR(S431="",E431=""),"",((S431*3500)-E431)/(S431*3500))</f>
        <v/>
      </c>
      <c r="Z431" s="7" t="n"/>
    </row>
    <row r="432">
      <c r="A432" s="2" t="inlineStr">
        <is>
          <t>SECRET GARDEN</t>
        </is>
      </c>
      <c r="B432" s="2" t="inlineStr">
        <is>
          <t>GARDEN WHITE T-SHIRT</t>
        </is>
      </c>
      <c r="C432" s="2" t="inlineStr">
        <is>
          <t>26TSH20/GAWH</t>
        </is>
      </c>
      <c r="D432" s="2" t="n">
        <v>5000</v>
      </c>
      <c r="E432" s="3" t="n">
        <v>42000</v>
      </c>
      <c r="F432" s="4" t="n">
        <v>11926</v>
      </c>
      <c r="G432" s="3">
        <f>IF(OR(E432="",F432=""),"",E432+F432)</f>
        <v/>
      </c>
      <c r="H432" s="3" t="n">
        <v>64171.94</v>
      </c>
      <c r="I432" s="3" t="n">
        <v>160429.85</v>
      </c>
      <c r="J432" s="3" t="n">
        <v>129900</v>
      </c>
      <c r="K432" s="3" t="n">
        <v>60037.81512605043</v>
      </c>
      <c r="L432" s="5" t="n">
        <v>0.1017994261319898</v>
      </c>
      <c r="M432" s="3" t="n">
        <v>76411.76470588235</v>
      </c>
      <c r="N432" s="5" t="n">
        <v>0.2942709776751347</v>
      </c>
      <c r="O432" s="3" t="n">
        <v>159647.88</v>
      </c>
      <c r="P432" s="5" t="n">
        <v>0.6622191287475913</v>
      </c>
      <c r="Q432" s="3" t="n">
        <v>111720</v>
      </c>
      <c r="R432" s="5" t="n">
        <v>0.5173111349803079</v>
      </c>
      <c r="S432" s="3" t="n">
        <v>109.2</v>
      </c>
      <c r="T432" s="5" t="n">
        <v>0.8700453055716214</v>
      </c>
      <c r="U432" s="6">
        <f>IF(OR(K432="",E432=""),"",(K432-E432)/K432)</f>
        <v/>
      </c>
      <c r="V432" s="6">
        <f>IF(OR(M432="",E432=""),"",(M432-E432)/M432)</f>
        <v/>
      </c>
      <c r="W432" s="6">
        <f>IF(OR(O432="",E432=""),"",(O432-E432)/O432)</f>
        <v/>
      </c>
      <c r="X432" s="6">
        <f>IF(OR(Q432="",E432=""),"",(Q432-E432)/Q432)</f>
        <v/>
      </c>
      <c r="Y432" s="6">
        <f>IF(OR(S432="",E432=""),"",((S432*3500)-E432)/(S432*3500))</f>
        <v/>
      </c>
      <c r="Z432" s="7" t="n"/>
    </row>
    <row r="433">
      <c r="A433" s="2" t="inlineStr">
        <is>
          <t>SECRET GARDEN</t>
        </is>
      </c>
      <c r="B433" s="2" t="inlineStr">
        <is>
          <t>SOUL FREE BLACK T-SHIRT</t>
        </is>
      </c>
      <c r="C433" s="2" t="inlineStr">
        <is>
          <t>26TSH20/SFBL</t>
        </is>
      </c>
      <c r="D433" s="2" t="n">
        <v>5000</v>
      </c>
      <c r="E433" s="3" t="n">
        <v>42000</v>
      </c>
      <c r="F433" s="4" t="n">
        <v>11926</v>
      </c>
      <c r="G433" s="3">
        <f>IF(OR(E433="",F433=""),"",E433+F433)</f>
        <v/>
      </c>
      <c r="H433" s="3" t="n">
        <v>64171.94</v>
      </c>
      <c r="I433" s="3" t="n">
        <v>160429.85</v>
      </c>
      <c r="J433" s="3" t="n">
        <v>129900</v>
      </c>
      <c r="K433" s="3" t="n">
        <v>60037.81512605043</v>
      </c>
      <c r="L433" s="5" t="n">
        <v>0.1017994261319898</v>
      </c>
      <c r="M433" s="3" t="n">
        <v>76411.76470588235</v>
      </c>
      <c r="N433" s="5" t="n">
        <v>0.2942709776751347</v>
      </c>
      <c r="O433" s="3" t="n">
        <v>159647.88</v>
      </c>
      <c r="P433" s="5" t="n">
        <v>0.6622191287475913</v>
      </c>
      <c r="Q433" s="3" t="n">
        <v>111720</v>
      </c>
      <c r="R433" s="5" t="n">
        <v>0.5173111349803079</v>
      </c>
      <c r="S433" s="3" t="n">
        <v>109.2</v>
      </c>
      <c r="T433" s="5" t="n">
        <v>0.8700453055716214</v>
      </c>
      <c r="U433" s="6">
        <f>IF(OR(K433="",E433=""),"",(K433-E433)/K433)</f>
        <v/>
      </c>
      <c r="V433" s="6">
        <f>IF(OR(M433="",E433=""),"",(M433-E433)/M433)</f>
        <v/>
      </c>
      <c r="W433" s="6">
        <f>IF(OR(O433="",E433=""),"",(O433-E433)/O433)</f>
        <v/>
      </c>
      <c r="X433" s="6">
        <f>IF(OR(Q433="",E433=""),"",(Q433-E433)/Q433)</f>
        <v/>
      </c>
      <c r="Y433" s="6">
        <f>IF(OR(S433="",E433=""),"",((S433*3500)-E433)/(S433*3500))</f>
        <v/>
      </c>
      <c r="Z433" s="7" t="n"/>
    </row>
    <row r="434">
      <c r="A434" s="2" t="inlineStr">
        <is>
          <t>SECRET GARDEN</t>
        </is>
      </c>
      <c r="B434" s="2" t="inlineStr">
        <is>
          <t>SYMBOLS MESH LONG SHIRT</t>
        </is>
      </c>
      <c r="C434" s="2" t="inlineStr">
        <is>
          <t>26CA32/SYMW</t>
        </is>
      </c>
      <c r="D434" s="2" t="n">
        <v>5000</v>
      </c>
      <c r="E434" s="3" t="n">
        <v>19740.475</v>
      </c>
      <c r="F434" s="4" t="n">
        <v>5225</v>
      </c>
      <c r="G434" s="3">
        <f>IF(OR(E434="",F434=""),"",E434+F434)</f>
        <v/>
      </c>
      <c r="H434" s="3" t="n">
        <v>29708.91525</v>
      </c>
      <c r="I434" s="3" t="n">
        <v>74272.28812499999</v>
      </c>
      <c r="J434" s="3" t="n">
        <v>69900</v>
      </c>
      <c r="K434" s="3" t="n">
        <v>32306.72268907564</v>
      </c>
      <c r="L434" s="5" t="n">
        <v>0.2272359149434258</v>
      </c>
      <c r="M434" s="3" t="n">
        <v>41117.64705882353</v>
      </c>
      <c r="N434" s="5" t="n">
        <v>0.3928282188841202</v>
      </c>
      <c r="O434" s="3" t="n">
        <v>76022.8</v>
      </c>
      <c r="P434" s="5" t="n">
        <v>0.6716054262668568</v>
      </c>
      <c r="Q434" s="3" t="n">
        <v>53200</v>
      </c>
      <c r="R434" s="5" t="n">
        <v>0.5307241541353384</v>
      </c>
      <c r="S434" s="3" t="n">
        <v>52</v>
      </c>
      <c r="T434" s="5" t="n">
        <v>0.8736565030364373</v>
      </c>
      <c r="U434" s="6">
        <f>IF(OR(K434="",E434=""),"",(K434-E434)/K434)</f>
        <v/>
      </c>
      <c r="V434" s="6">
        <f>IF(OR(M434="",E434=""),"",(M434-E434)/M434)</f>
        <v/>
      </c>
      <c r="W434" s="6">
        <f>IF(OR(O434="",E434=""),"",(O434-E434)/O434)</f>
        <v/>
      </c>
      <c r="X434" s="6">
        <f>IF(OR(Q434="",E434=""),"",(Q434-E434)/Q434)</f>
        <v/>
      </c>
      <c r="Y434" s="6">
        <f>IF(OR(S434="",E434=""),"",((S434*3500)-E434)/(S434*3500))</f>
        <v/>
      </c>
      <c r="Z434" s="7"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8" customWidth="1" min="1" max="1"/>
    <col width="18" customWidth="1" min="2" max="2"/>
    <col width="20" customWidth="1" min="3" max="3"/>
    <col width="34" customWidth="1" min="4" max="4"/>
    <col width="28" customWidth="1" min="5" max="5"/>
    <col width="34" customWidth="1" min="6" max="6"/>
    <col width="34" customWidth="1" min="7" max="7"/>
  </cols>
  <sheetData>
    <row r="1">
      <c r="A1" s="1" t="inlineStr">
        <is>
          <t>Colección</t>
        </is>
      </c>
      <c r="B1" s="1" t="inlineStr">
        <is>
          <t># SKUs</t>
        </is>
      </c>
      <c r="C1" s="1" t="inlineStr">
        <is>
          <t>Prendas producidas</t>
        </is>
      </c>
      <c r="D1" s="1" t="inlineStr">
        <is>
          <t>Pool total costos indirectos (colección)</t>
        </is>
      </c>
      <c r="E1" s="1" t="inlineStr">
        <is>
          <t>Costo indirecto por prenda</t>
        </is>
      </c>
      <c r="F1" s="1" t="inlineStr">
        <is>
          <t>Salario Jefe de Producción (dentro del pool)</t>
        </is>
      </c>
      <c r="G1" s="1" t="inlineStr">
        <is>
          <t>% del pool que es salario jefe de producción</t>
        </is>
      </c>
    </row>
    <row r="2">
      <c r="A2" s="2" t="inlineStr">
        <is>
          <t>ANCIENT</t>
        </is>
      </c>
      <c r="B2" s="2" t="n">
        <v>135</v>
      </c>
      <c r="C2" s="2" t="n">
        <v>8000</v>
      </c>
      <c r="D2" s="3" t="n">
        <v>39915093</v>
      </c>
      <c r="E2" s="3">
        <f>D2/C2</f>
        <v/>
      </c>
      <c r="F2" s="3" t="n">
        <v>14637093</v>
      </c>
      <c r="G2" s="5">
        <f>F2/D2</f>
        <v/>
      </c>
    </row>
    <row r="3">
      <c r="A3" s="2" t="inlineStr">
        <is>
          <t>LA EMPERATRIZ</t>
        </is>
      </c>
      <c r="B3" s="2" t="n">
        <v>185</v>
      </c>
      <c r="C3" s="2" t="n">
        <v>8000</v>
      </c>
      <c r="D3" s="3" t="n">
        <v>37808250</v>
      </c>
      <c r="E3" s="3">
        <f>D3/C3</f>
        <v/>
      </c>
      <c r="F3" s="3" t="n">
        <v>12600000</v>
      </c>
      <c r="G3" s="5">
        <f>F3/D3</f>
        <v/>
      </c>
    </row>
    <row r="4">
      <c r="A4" s="2" t="inlineStr">
        <is>
          <t>SECRET GARDEN</t>
        </is>
      </c>
      <c r="B4" s="2" t="n">
        <v>113</v>
      </c>
      <c r="C4" s="2" t="n">
        <v>5000</v>
      </c>
      <c r="D4" s="3" t="n">
        <v>33505000</v>
      </c>
      <c r="E4" s="3">
        <f>D4/C4</f>
        <v/>
      </c>
      <c r="F4" s="3" t="n">
        <v>12600000</v>
      </c>
      <c r="G4" s="5">
        <f>F4/D4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2" customWidth="1" min="1" max="1"/>
    <col width="110" customWidth="1" min="2" max="2"/>
  </cols>
  <sheetData>
    <row r="1" ht="60" customHeight="1">
      <c r="A1" s="9" t="inlineStr">
        <is>
          <t>✅ RESUELTO -- decisión: sin esquema de costos indirectos</t>
        </is>
      </c>
      <c r="B1" s="10" t="inlineStr">
        <is>
          <t>Natalia decidió (3 ago) eliminar el esquema de costos indirectos del costeo de producto: todo lo que se prorrateaba (diseño, fotógrafo, modelo, montaje, locación, alimentación, y el salario del Jefe de Producción) era, o doble contabilización, o en realidad gasto de mercadeo y ventas -- no costo de producción. De aquí en adelante el costo de producto es SOLO el costo directo (columna 'Costo Producto (directo) -- VIGENTE'). Las columnas de costo indirecto y los márgenes que lo usaban se dejan en la base marcadas como HISTÓRICO/NO VIGENTE (solo para trazabilidad) -- se agregaron 5 columnas nuevas al final, en verde, con el margen correcto usando solo costo directo (Margen Multimarca/Página Web/Internacional/Distribuidor/Directo Internacional -- VIGENTE). Usar SOLO esas de aquí en adelante.</t>
        </is>
      </c>
    </row>
    <row r="2" ht="60" customHeight="1">
      <c r="A2" s="9" t="inlineStr">
        <is>
          <t>Confirmado por el archivo CONTROL DE PAGOS 2026</t>
        </is>
      </c>
      <c r="B2" s="10" t="inlineStr">
        <is>
          <t>La sección 'Mercadeo y Ventas' de CONTROL DE PAGOS 2026.xlsx (ver costos-fijos-2026.xlsx) sí trae gastos de maquillaje, ilustración, pauta y agencias de marketing -- exactamente lo que antes se cargaba como 'indirecto' al producto. Confirma que la decisión es correcta: esos gastos deben vivir en el presupuesto de mercadeo/ventas (opex), no en el costo unitario.</t>
        </is>
      </c>
    </row>
    <row r="3" ht="60" customHeight="1">
      <c r="A3" s="9" t="inlineStr">
        <is>
          <t>ANCIENT y DICIEMBRE son el mismo archivo</t>
        </is>
      </c>
      <c r="B3" s="10" t="inlineStr">
        <is>
          <t>COSTOS_ANCIENT.xlsx y COSTOS_DICIEMBRE.xlsx tienen exactamente los mismos 135 SKUs, con los mismos costos y precios, fila por fila. Se consolidó como una sola colección ('ANCIENT') para no duplicar las mismas 135 referencias en la base. Falta confirmar si son en efecto la misma colección (guardada dos veces con nombres distintos) o si 'Diciembre' debía tener datos propios que no se actualizaron.</t>
        </is>
      </c>
    </row>
    <row r="4" ht="60" customHeight="1">
      <c r="A4" s="9" t="inlineStr">
        <is>
          <t>Estructura de precios por canal, ya identificada (revisando las fórmulas originales)</t>
        </is>
      </c>
      <c r="B4" s="10" t="inlineStr">
        <is>
          <t>Estos archivos ya traen una estructura de precios por canal — esto es justamente la 'estructura de precios' que menciona el correo del asesor. Revisando las fórmulas originales celda por celda (no solo los nombres de columna), el mapeo más probable a los 4 canales del presupuesto es: Precio Ideal (= PVP, coincide exacto con la hoja PRECIOS de cada colección) → Punto de venta · Precio Página Web → Digital · Precio Multimarca → Nacional (mayoristas/boutiques dentro de Colombia) · Internacional / Distribuidor Inter 30% / Precio Sugerido Retail (estas 3 están encadenadas en USD, convertidas a COP × 3500 en las fórmulas) → Internacional. 'Precio Sugerido Retail' NO es el precio de venta nacional -- es el precio sugerido de reventa en el exterior, en dólares. Falta confirmar con el asesor.</t>
        </is>
      </c>
    </row>
    <row r="5" ht="60" customHeight="1">
      <c r="A5" s="9" t="inlineStr">
        <is>
          <t>Costo variable de Digital ya definido (solo en ANCIENT/DICIEMBRE)</t>
        </is>
      </c>
      <c r="B5" s="10" t="inlineStr">
        <is>
          <t>La hoja 'PAGINA WEB' de ANCIENT/DICIEMBRE desglosa el costo de vender por la tienda online: Pauta 15%, Pasarela de pago 3%, Shopify 2%, Flete 8%, Shopify Fee 0.18%, Contenido 2% = 30.18% de costo variable sobre el precio de venta. No está presente en LA EMPERATRIZ ni en SECRET GARDEN — replicar este desglose hacia adelante; es un insumo directo para el punto de equilibrio de Digital.</t>
        </is>
      </c>
    </row>
    <row r="6" ht="60" customHeight="1">
      <c r="A6" s="9" t="inlineStr">
        <is>
          <t>Pendiente: costos fijos de la empresa y de cada canal</t>
        </is>
      </c>
      <c r="B6" s="10" t="inlineStr">
        <is>
          <t>Esta base cubre el costo directo e indirecto POR PRENDA de cada colección. Todavía falta el costo fijo de la operación (arriendo showroom, nómina, servicios, etc.) para calcular el punto de equilibrio — eso no está en estos archivos de costeo de colección.</t>
        </is>
      </c>
    </row>
    <row r="7" ht="60" customHeight="1">
      <c r="A7" s="9" t="inlineStr">
        <is>
          <t>Pendiente: ventas reales Nacional e Internacional</t>
        </is>
      </c>
      <c r="B7" s="10" t="inlineStr">
        <is>
          <t>Natalia mencionó que la fuente de datos de ventas de Nacional e Internacional se compartirá luego. Sin eso no se puede calcular el precio promedio real ni la mezcla de ventas por canal para el presupuesto 2026.</t>
        </is>
      </c>
    </row>
    <row r="8" ht="60" customHeight="1">
      <c r="A8" s="9" t="inlineStr">
        <is>
          <t>⚠ 8 SKUs sin costo directo en el archivo original</t>
        </is>
      </c>
      <c r="B8" s="10" t="inlineStr">
        <is>
          <t>6 en ANCIENT (p.ej. "I'M WHITE MESH KNIT SHIRT", "I'M BLUE CLASSIC JEAN") y 2 en LA EMPERATRIZ ("I'M ... EMBROIDERED WAISTCOAT") ya tenían la celda de Costo Producto vacía en el archivo original — ahí mismo esto generaba un error #DIV/0! en la columna de porcentaje de indirectos. En esta base se marcan en la columna 'Alertas' y su Costo Total queda en blanco (no se asume $0) para no ocultar el hueco. Hay que pedir el costo directo real de estas 8 referencias.</t>
        </is>
      </c>
    </row>
    <row r="9" ht="60" customHeight="1">
      <c r="A9" s="9" t="inlineStr">
        <is>
          <t>7 ítems sin código de referencia (SKU)</t>
        </is>
      </c>
      <c r="B9" s="10" t="inlineStr">
        <is>
          <t>SET MESH KNIT PANTS, TOTE BAG, COLLAR AMARILLO/AZUL/ROJO (x2) en ANCIENT, y PAÑOLETA en LA EMPERATRIZ no tienen referencia asignada en el archivo original (son accesorios, probablemente sin SKU formal todavía). PAÑOLETA además nunca recibió el prorrateo de costo indirecto de su colección. Marcados en 'Alertas'.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2026-08-03T19:42:04Z</dcterms:created>
  <dcterms:modified xsi:type="dcterms:W3CDTF">2026-08-03T19:42:05Z</dcterms:modified>
</cp:coreProperties>
</file>