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 2025 (Shopify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Canal</t>
        </is>
      </c>
      <c r="B1" s="1" t="inlineStr">
        <is>
          <t>Métrica</t>
        </is>
      </c>
      <c r="C1" s="1" t="inlineStr">
        <is>
          <t>Total</t>
        </is>
      </c>
      <c r="D1" s="1" t="inlineStr">
        <is>
          <t>Enero</t>
        </is>
      </c>
      <c r="E1" s="1" t="inlineStr">
        <is>
          <t>Febrero</t>
        </is>
      </c>
      <c r="F1" s="1" t="inlineStr">
        <is>
          <t>Marzo</t>
        </is>
      </c>
      <c r="G1" s="1" t="inlineStr">
        <is>
          <t>Abril</t>
        </is>
      </c>
      <c r="H1" s="1" t="inlineStr">
        <is>
          <t>Mayo</t>
        </is>
      </c>
      <c r="I1" s="1" t="inlineStr">
        <is>
          <t>Junio</t>
        </is>
      </c>
      <c r="J1" s="1" t="inlineStr">
        <is>
          <t>Julio</t>
        </is>
      </c>
      <c r="K1" s="1" t="inlineStr">
        <is>
          <t>Agosto</t>
        </is>
      </c>
      <c r="L1" s="1" t="inlineStr">
        <is>
          <t>Septiembre</t>
        </is>
      </c>
      <c r="M1" s="1" t="inlineStr">
        <is>
          <t>Octubre</t>
        </is>
      </c>
      <c r="N1" s="1" t="inlineStr">
        <is>
          <t>Noviembre</t>
        </is>
      </c>
      <c r="O1" s="1" t="inlineStr">
        <is>
          <t>Diciembre</t>
        </is>
      </c>
    </row>
    <row r="2">
      <c r="A2" s="2" t="inlineStr">
        <is>
          <t>Digital</t>
        </is>
      </c>
      <c r="B2" s="2" t="inlineStr">
        <is>
          <t>Ventas reales (subtotal sin IVA)</t>
        </is>
      </c>
      <c r="C2" s="3">
        <f>SUM(D2:O2)</f>
        <v/>
      </c>
      <c r="D2" s="3" t="n">
        <v>42997926.04000007</v>
      </c>
      <c r="E2" s="3" t="n">
        <v>33360607.43000003</v>
      </c>
      <c r="F2" s="3" t="n">
        <v>96846557.58999991</v>
      </c>
      <c r="G2" s="3" t="n">
        <v>78771299.82999963</v>
      </c>
      <c r="H2" s="3" t="n">
        <v>72530929.21999988</v>
      </c>
      <c r="I2" s="3" t="n">
        <v>135208540.6400001</v>
      </c>
      <c r="J2" s="3" t="n">
        <v>43674224.80999997</v>
      </c>
      <c r="K2" s="3" t="n">
        <v>69065308.94999981</v>
      </c>
      <c r="L2" s="3" t="n">
        <v>70876549.51999983</v>
      </c>
      <c r="M2" s="3" t="n">
        <v>104216381.19</v>
      </c>
      <c r="N2" s="3" t="n">
        <v>140455154.5200004</v>
      </c>
      <c r="O2" s="3" t="n">
        <v>55837267.34999979</v>
      </c>
    </row>
    <row r="3">
      <c r="A3" s="2" t="inlineStr">
        <is>
          <t>Digital</t>
        </is>
      </c>
      <c r="B3" s="2" t="inlineStr">
        <is>
          <t>Unidades reales</t>
        </is>
      </c>
      <c r="C3" s="4">
        <f>SUM(D3:O3)</f>
        <v/>
      </c>
      <c r="D3" s="4" t="n">
        <v>484</v>
      </c>
      <c r="E3" s="4" t="n">
        <v>379</v>
      </c>
      <c r="F3" s="4" t="n">
        <v>1057</v>
      </c>
      <c r="G3" s="4" t="n">
        <v>724</v>
      </c>
      <c r="H3" s="4" t="n">
        <v>716</v>
      </c>
      <c r="I3" s="4" t="n">
        <v>1798</v>
      </c>
      <c r="J3" s="4" t="n">
        <v>398</v>
      </c>
      <c r="K3" s="4" t="n">
        <v>675</v>
      </c>
      <c r="L3" s="4" t="n">
        <v>734</v>
      </c>
      <c r="M3" s="4" t="n">
        <v>1380</v>
      </c>
      <c r="N3" s="4" t="n">
        <v>2022</v>
      </c>
      <c r="O3" s="4" t="n">
        <v>621</v>
      </c>
    </row>
    <row r="4">
      <c r="A4" s="2" t="inlineStr">
        <is>
          <t>Digital</t>
        </is>
      </c>
      <c r="B4" s="2" t="inlineStr">
        <is>
          <t>Precio promedio (ventas/unidades)</t>
        </is>
      </c>
      <c r="C4" s="3">
        <f>IF(C3=0,"",C2/C3)</f>
        <v/>
      </c>
      <c r="D4" s="3">
        <f>IF(D3=0,"",D2/D3)</f>
        <v/>
      </c>
      <c r="E4" s="3">
        <f>IF(E3=0,"",E2/E3)</f>
        <v/>
      </c>
      <c r="F4" s="3">
        <f>IF(F3=0,"",F2/F3)</f>
        <v/>
      </c>
      <c r="G4" s="3">
        <f>IF(G3=0,"",G2/G3)</f>
        <v/>
      </c>
      <c r="H4" s="3">
        <f>IF(H3=0,"",H2/H3)</f>
        <v/>
      </c>
      <c r="I4" s="3">
        <f>IF(I3=0,"",I2/I3)</f>
        <v/>
      </c>
      <c r="J4" s="3">
        <f>IF(J3=0,"",J2/J3)</f>
        <v/>
      </c>
      <c r="K4" s="3">
        <f>IF(K3=0,"",K2/K3)</f>
        <v/>
      </c>
      <c r="L4" s="3">
        <f>IF(L3=0,"",L2/L3)</f>
        <v/>
      </c>
      <c r="M4" s="3">
        <f>IF(M3=0,"",M2/M3)</f>
        <v/>
      </c>
      <c r="N4" s="3">
        <f>IF(N3=0,"",N2/N3)</f>
        <v/>
      </c>
      <c r="O4" s="3">
        <f>IF(O3=0,"",O2/O3)</f>
        <v/>
      </c>
    </row>
    <row r="6">
      <c r="A6" s="2" t="inlineStr">
        <is>
          <t>Punto de venta</t>
        </is>
      </c>
      <c r="B6" s="2" t="inlineStr">
        <is>
          <t>Ventas reales (subtotal sin IVA)</t>
        </is>
      </c>
      <c r="C6" s="3">
        <f>SUM(D6:O6)</f>
        <v/>
      </c>
      <c r="D6" s="3" t="n">
        <v>8477096.639999999</v>
      </c>
      <c r="E6" s="3" t="n">
        <v>15524970.38</v>
      </c>
      <c r="F6" s="3" t="n">
        <v>17426369.29</v>
      </c>
      <c r="G6" s="3" t="n">
        <v>21510125.89</v>
      </c>
      <c r="H6" s="3" t="n">
        <v>15730925.14</v>
      </c>
      <c r="I6" s="3" t="n">
        <v>40581255.53999993</v>
      </c>
      <c r="J6" s="3" t="n">
        <v>14647037.77000001</v>
      </c>
      <c r="K6" s="3" t="n">
        <v>20189900.53</v>
      </c>
      <c r="L6" s="3" t="n">
        <v>20097194.06</v>
      </c>
      <c r="M6" s="3" t="n">
        <v>21291638.61000001</v>
      </c>
      <c r="N6" s="3" t="n">
        <v>24902147.01000001</v>
      </c>
      <c r="O6" s="3" t="n">
        <v>19912950.33</v>
      </c>
    </row>
    <row r="7">
      <c r="A7" s="2" t="inlineStr">
        <is>
          <t>Punto de venta</t>
        </is>
      </c>
      <c r="B7" s="2" t="inlineStr">
        <is>
          <t>Unidades reales</t>
        </is>
      </c>
      <c r="C7" s="4">
        <f>SUM(D7:O7)</f>
        <v/>
      </c>
      <c r="D7" s="4" t="n">
        <v>88</v>
      </c>
      <c r="E7" s="4" t="n">
        <v>181</v>
      </c>
      <c r="F7" s="4" t="n">
        <v>215</v>
      </c>
      <c r="G7" s="4" t="n">
        <v>269</v>
      </c>
      <c r="H7" s="4" t="n">
        <v>217</v>
      </c>
      <c r="I7" s="4" t="n">
        <v>809</v>
      </c>
      <c r="J7" s="4" t="n">
        <v>203</v>
      </c>
      <c r="K7" s="4" t="n">
        <v>247</v>
      </c>
      <c r="L7" s="4" t="n">
        <v>201</v>
      </c>
      <c r="M7" s="4" t="n">
        <v>268</v>
      </c>
      <c r="N7" s="4" t="n">
        <v>435</v>
      </c>
      <c r="O7" s="4" t="n">
        <v>204</v>
      </c>
    </row>
    <row r="8">
      <c r="A8" s="2" t="inlineStr">
        <is>
          <t>Punto de venta</t>
        </is>
      </c>
      <c r="B8" s="2" t="inlineStr">
        <is>
          <t>Precio promedio (ventas/unidades)</t>
        </is>
      </c>
      <c r="C8" s="3">
        <f>IF(C7=0,"",C6/C7)</f>
        <v/>
      </c>
      <c r="D8" s="3">
        <f>IF(D7=0,"",D6/D7)</f>
        <v/>
      </c>
      <c r="E8" s="3">
        <f>IF(E7=0,"",E6/E7)</f>
        <v/>
      </c>
      <c r="F8" s="3">
        <f>IF(F7=0,"",F6/F7)</f>
        <v/>
      </c>
      <c r="G8" s="3">
        <f>IF(G7=0,"",G6/G7)</f>
        <v/>
      </c>
      <c r="H8" s="3">
        <f>IF(H7=0,"",H6/H7)</f>
        <v/>
      </c>
      <c r="I8" s="3">
        <f>IF(I7=0,"",I6/I7)</f>
        <v/>
      </c>
      <c r="J8" s="3">
        <f>IF(J7=0,"",J6/J7)</f>
        <v/>
      </c>
      <c r="K8" s="3">
        <f>IF(K7=0,"",K6/K7)</f>
        <v/>
      </c>
      <c r="L8" s="3">
        <f>IF(L7=0,"",L6/L7)</f>
        <v/>
      </c>
      <c r="M8" s="3">
        <f>IF(M7=0,"",M6/M7)</f>
        <v/>
      </c>
      <c r="N8" s="3">
        <f>IF(N7=0,"",N6/N7)</f>
        <v/>
      </c>
      <c r="O8" s="3">
        <f>IF(O7=0,"",O6/O7)</f>
        <v/>
      </c>
    </row>
    <row r="10">
      <c r="A10" s="5" t="inlineStr">
        <is>
          <t>EMPRESA (Digital + Punto de venta)</t>
        </is>
      </c>
    </row>
    <row r="11">
      <c r="A11" s="2" t="inlineStr">
        <is>
          <t>Consolidado</t>
        </is>
      </c>
      <c r="B11" s="2" t="inlineStr">
        <is>
          <t>Ventas reales (subtotal sin IVA)</t>
        </is>
      </c>
      <c r="C11" s="3">
        <f>C2+C6</f>
        <v/>
      </c>
      <c r="D11" s="3">
        <f>D2+D6</f>
        <v/>
      </c>
      <c r="E11" s="3">
        <f>E2+E6</f>
        <v/>
      </c>
      <c r="F11" s="3">
        <f>F2+F6</f>
        <v/>
      </c>
      <c r="G11" s="3">
        <f>G2+G6</f>
        <v/>
      </c>
      <c r="H11" s="3">
        <f>H2+H6</f>
        <v/>
      </c>
      <c r="I11" s="3">
        <f>I2+I6</f>
        <v/>
      </c>
      <c r="J11" s="3">
        <f>J2+J6</f>
        <v/>
      </c>
      <c r="K11" s="3">
        <f>K2+K6</f>
        <v/>
      </c>
      <c r="L11" s="3">
        <f>L2+L6</f>
        <v/>
      </c>
      <c r="M11" s="3">
        <f>M2+M6</f>
        <v/>
      </c>
      <c r="N11" s="3">
        <f>N2+N6</f>
        <v/>
      </c>
      <c r="O11" s="3">
        <f>O2+O6</f>
        <v/>
      </c>
    </row>
    <row r="12">
      <c r="A12" s="2" t="inlineStr">
        <is>
          <t>Consolidado</t>
        </is>
      </c>
      <c r="B12" s="2" t="inlineStr">
        <is>
          <t>Unidades reales</t>
        </is>
      </c>
      <c r="C12" s="4">
        <f>C3+C7</f>
        <v/>
      </c>
      <c r="D12" s="4">
        <f>D3+D7</f>
        <v/>
      </c>
      <c r="E12" s="4">
        <f>E3+E7</f>
        <v/>
      </c>
      <c r="F12" s="4">
        <f>F3+F7</f>
        <v/>
      </c>
      <c r="G12" s="4">
        <f>G3+G7</f>
        <v/>
      </c>
      <c r="H12" s="4">
        <f>H3+H7</f>
        <v/>
      </c>
      <c r="I12" s="4">
        <f>I3+I7</f>
        <v/>
      </c>
      <c r="J12" s="4">
        <f>J3+J7</f>
        <v/>
      </c>
      <c r="K12" s="4">
        <f>K3+K7</f>
        <v/>
      </c>
      <c r="L12" s="4">
        <f>L3+L7</f>
        <v/>
      </c>
      <c r="M12" s="4">
        <f>M3+M7</f>
        <v/>
      </c>
      <c r="N12" s="4">
        <f>N3+N7</f>
        <v/>
      </c>
      <c r="O12" s="4">
        <f>O3+O7</f>
        <v/>
      </c>
    </row>
    <row r="13">
      <c r="A13" s="2" t="inlineStr">
        <is>
          <t>Consolidado</t>
        </is>
      </c>
      <c r="B13" s="2" t="inlineStr">
        <is>
          <t>Precio promedio</t>
        </is>
      </c>
      <c r="C13" s="3">
        <f>IF(C12=0,"",C11/C12)</f>
        <v/>
      </c>
      <c r="D13" s="3">
        <f>IF(D12=0,"",D11/D12)</f>
        <v/>
      </c>
      <c r="E13" s="3">
        <f>IF(E12=0,"",E11/E12)</f>
        <v/>
      </c>
      <c r="F13" s="3">
        <f>IF(F12=0,"",F11/F12)</f>
        <v/>
      </c>
      <c r="G13" s="3">
        <f>IF(G12=0,"",G11/G12)</f>
        <v/>
      </c>
      <c r="H13" s="3">
        <f>IF(H12=0,"",H11/H12)</f>
        <v/>
      </c>
      <c r="I13" s="3">
        <f>IF(I12=0,"",I11/I12)</f>
        <v/>
      </c>
      <c r="J13" s="3">
        <f>IF(J12=0,"",J11/J12)</f>
        <v/>
      </c>
      <c r="K13" s="3">
        <f>IF(K12=0,"",K11/K12)</f>
        <v/>
      </c>
      <c r="L13" s="3">
        <f>IF(L12=0,"",L11/L12)</f>
        <v/>
      </c>
      <c r="M13" s="3">
        <f>IF(M12=0,"",M11/M12)</f>
        <v/>
      </c>
      <c r="N13" s="3">
        <f>IF(N12=0,"",N11/N12)</f>
        <v/>
      </c>
      <c r="O13" s="3">
        <f>IF(O12=0,"",O11/O12)</f>
        <v/>
      </c>
    </row>
    <row r="15" ht="45" customHeight="1">
      <c r="A15" s="6" t="inlineStr">
        <is>
          <t>Fuente: pedidos reales de Shopify (bulk GraphQL vía Composio), 2025 completo, zona horaria Bogotá. Ventas = subtotal sin IVA (currentSubtotalPriceSet - currentTotalTaxSet), estados PAID/PARTIALLY_PAID/PARTIALLY_REFUNDED/REFUNDED, excluye pedidos de prueba. Digital = sourceName 'web'. Punto de venta = pedidos manuales/showroom ('shopify_draft_order'), igual criterio que usa el skill cierre-mensual. Nacional e Internacional no están en Shopify (ver plan-de-datos.md).</t>
        </is>
      </c>
    </row>
  </sheetData>
  <mergeCells count="1">
    <mergeCell ref="A15:O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2026-08-03T19:24:48Z</dcterms:created>
  <dcterms:modified xsi:type="dcterms:W3CDTF">2026-08-03T19:24:48Z</dcterms:modified>
</cp:coreProperties>
</file>