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va final" sheetId="1" state="visible" r:id="rId1"/>
    <sheet name="Parametros" sheetId="2" state="visible" r:id="rId2"/>
    <sheet name="Escenarios" sheetId="3" state="visible" r:id="rId3"/>
    <sheet name="Alertas" sheetId="4" state="visible" r:id="rId4"/>
    <sheet name="Base histor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;-"/>
    <numFmt numFmtId="165" formatCode="0.0%;;-"/>
    <numFmt numFmtId="166" formatCode="0.0%"/>
  </numFmts>
  <fonts count="1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color rgb="00FFFFFF"/>
    </font>
    <font>
      <name val="Arial"/>
      <sz val="9"/>
    </font>
    <font>
      <name val="Arial"/>
      <b val="1"/>
      <sz val="13"/>
    </font>
    <font>
      <name val="Arial"/>
      <b val="1"/>
      <color rgb="00000000"/>
    </font>
    <font>
      <name val="Arial"/>
      <color rgb="00008000"/>
    </font>
    <font>
      <name val="Arial"/>
      <b val="1"/>
      <color rgb="00008000"/>
    </font>
    <font>
      <name val="Arial"/>
      <b val="1"/>
      <color rgb="0015803D"/>
    </font>
    <font>
      <name val="Arial"/>
      <b val="1"/>
      <color rgb="00B91C1C"/>
    </font>
  </fonts>
  <fills count="10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5E7EB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3" fontId="3" fillId="0" borderId="1" pivotButton="0" quotePrefix="0" xfId="0"/>
    <xf numFmtId="3" fontId="9" fillId="0" borderId="1" pivotButton="0" quotePrefix="0" xfId="0"/>
    <xf numFmtId="0" fontId="0" fillId="0" borderId="1" pivotButton="0" quotePrefix="0" xfId="0"/>
    <xf numFmtId="165" fontId="10" fillId="0" borderId="1" pivotButton="0" quotePrefix="0" xfId="0"/>
    <xf numFmtId="164" fontId="5" fillId="0" borderId="1" pivotButton="0" quotePrefix="0" xfId="0"/>
    <xf numFmtId="164" fontId="2" fillId="0" borderId="1" pivotButton="0" quotePrefix="0" xfId="0"/>
    <xf numFmtId="0" fontId="2" fillId="4" borderId="1" pivotButton="0" quotePrefix="0" xfId="0"/>
    <xf numFmtId="0" fontId="7" fillId="4" borderId="1" pivotButton="0" quotePrefix="0" xfId="0"/>
    <xf numFmtId="0" fontId="4" fillId="4" borderId="1" pivotButton="0" quotePrefix="0" xfId="0"/>
    <xf numFmtId="3" fontId="11" fillId="4" borderId="1" pivotButton="0" quotePrefix="0" xfId="0"/>
    <xf numFmtId="0" fontId="0" fillId="4" borderId="1" pivotButton="0" quotePrefix="0" xfId="0"/>
    <xf numFmtId="165" fontId="10" fillId="4" borderId="1" pivotButton="0" quotePrefix="0" xfId="0"/>
    <xf numFmtId="164" fontId="5" fillId="4" borderId="1" pivotButton="0" quotePrefix="0" xfId="0"/>
    <xf numFmtId="164" fontId="2" fillId="4" borderId="1" pivotButton="0" quotePrefix="0" xfId="0"/>
    <xf numFmtId="0" fontId="2" fillId="5" borderId="1" pivotButton="0" quotePrefix="0" xfId="0"/>
    <xf numFmtId="0" fontId="0" fillId="5" borderId="1" pivotButton="0" quotePrefix="0" xfId="0"/>
    <xf numFmtId="3" fontId="2" fillId="5" borderId="1" pivotButton="0" quotePrefix="0" xfId="0"/>
    <xf numFmtId="166" fontId="2" fillId="5" borderId="1" pivotButton="0" quotePrefix="0" xfId="0"/>
    <xf numFmtId="0" fontId="5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3" fillId="2" borderId="0" pivotButton="0" quotePrefix="0" xfId="0"/>
    <xf numFmtId="3" fontId="3" fillId="2" borderId="0" pivotButton="0" quotePrefix="0" xfId="0"/>
    <xf numFmtId="0" fontId="5" fillId="0" borderId="1" pivotButton="0" quotePrefix="0" xfId="0"/>
    <xf numFmtId="0" fontId="12" fillId="0" borderId="1" pivotButton="0" quotePrefix="0" xfId="0"/>
    <xf numFmtId="3" fontId="0" fillId="0" borderId="1" pivotButton="0" quotePrefix="0" xfId="0"/>
    <xf numFmtId="0" fontId="13" fillId="0" borderId="1" pivotButton="0" quotePrefix="0" xfId="0"/>
    <xf numFmtId="0" fontId="5" fillId="4" borderId="1" pivotButton="0" quotePrefix="0" xfId="0"/>
    <xf numFmtId="0" fontId="12" fillId="4" borderId="1" pivotButton="0" quotePrefix="0" xfId="0"/>
    <xf numFmtId="3" fontId="0" fillId="4" borderId="1" pivotButton="0" quotePrefix="0" xfId="0"/>
    <xf numFmtId="3" fontId="2" fillId="0" borderId="0" pivotButton="0" quotePrefix="0" xfId="0"/>
    <xf numFmtId="0" fontId="2" fillId="6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164" fontId="3" fillId="0" borderId="1" pivotButton="0" quotePrefix="0" xfId="0"/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C5" authorId="0" shapeId="0">
      <text>
        <t>Fuente: correo "Curvas Karol G" (14-sep-2026), columna BAJO (80%).</t>
      </text>
    </comment>
    <comment ref="C6" authorId="0" shapeId="0">
      <text>
        <t>Fuente: correo "Curvas Karol G" (14-sep-2026), columna BAJO (80%).</t>
      </text>
    </comment>
    <comment ref="C7" authorId="0" shapeId="0">
      <text>
        <t>Fuente: correo "Curvas Karol G" (14-sep-2026), columna BAJO (80%).</t>
      </text>
    </comment>
    <comment ref="C8" authorId="0" shapeId="0">
      <text>
        <t>Fuente: correo "Curvas Karol G" (14-sep-2026), columna BAJO (80%).</t>
      </text>
    </comment>
    <comment ref="C9" authorId="0" shapeId="0">
      <text>
        <t>Fuente: correo "Curvas Karol G" (14-sep-2026), columna BAJO (80%).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1" customWidth="1" min="4" max="4"/>
    <col hidden="1" width="13" customWidth="1" min="5" max="5"/>
    <col hidden="1" width="13" customWidth="1" min="6" max="6"/>
    <col hidden="1" width="13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" t="inlineStr">
        <is>
          <t>KAROL G — Curva de producción final (v3 FINAL: 9 referencias, mínimo 3.500 u — tallajes confirmados 29-sep-2026)</t>
        </is>
      </c>
    </row>
    <row r="2">
      <c r="A2" s="2" t="inlineStr">
        <is>
          <t>Total por referencia sale de "Parametros". Unidades por talla = total × % histórico; la talla M absorbe el redondeo (en el pareo, la talla única). Verde = referencia nueva.</t>
        </is>
      </c>
    </row>
    <row r="4" ht="32" customHeight="1">
      <c r="A4" s="3" t="inlineStr">
        <is>
          <t>Referencia</t>
        </is>
      </c>
      <c r="B4" s="3" t="inlineStr">
        <is>
          <t>Tallaje</t>
        </is>
      </c>
      <c r="C4" s="3" t="inlineStr">
        <is>
          <t>BAJO 80% original</t>
        </is>
      </c>
      <c r="D4" s="3" t="inlineStr">
        <is>
          <t>Total final</t>
        </is>
      </c>
      <c r="E4" s="3" t="inlineStr">
        <is>
          <t>% XS</t>
        </is>
      </c>
      <c r="F4" s="3" t="inlineStr">
        <is>
          <t>% S</t>
        </is>
      </c>
      <c r="G4" s="3" t="inlineStr">
        <is>
          <t>% M</t>
        </is>
      </c>
      <c r="H4" s="3" t="inlineStr">
        <is>
          <t>% L</t>
        </is>
      </c>
      <c r="I4" s="3" t="inlineStr">
        <is>
          <t>% XL</t>
        </is>
      </c>
      <c r="J4" s="3" t="inlineStr">
        <is>
          <t>% UN</t>
        </is>
      </c>
      <c r="K4" s="3" t="inlineStr">
        <is>
          <t>XS</t>
        </is>
      </c>
      <c r="L4" s="3" t="inlineStr">
        <is>
          <t>S</t>
        </is>
      </c>
      <c r="M4" s="3" t="inlineStr">
        <is>
          <t>M</t>
        </is>
      </c>
      <c r="N4" s="3" t="inlineStr">
        <is>
          <t>L</t>
        </is>
      </c>
      <c r="O4" s="3" t="inlineStr">
        <is>
          <t>XL</t>
        </is>
      </c>
      <c r="P4" s="3" t="inlineStr">
        <is>
          <t>UN</t>
        </is>
      </c>
      <c r="Q4" s="3" t="inlineStr">
        <is>
          <t>Total curva</t>
        </is>
      </c>
      <c r="R4" s="3" t="inlineStr">
        <is>
          <t>Check</t>
        </is>
      </c>
    </row>
    <row r="5">
      <c r="A5" s="4" t="inlineStr">
        <is>
          <t>Camiseta de tiras</t>
        </is>
      </c>
      <c r="B5" s="5" t="inlineStr">
        <is>
          <t>S–XL</t>
        </is>
      </c>
      <c r="C5" s="6" t="n">
        <v>600</v>
      </c>
      <c r="D5" s="7">
        <f>ROUND(C5*Parametros!$B$3,-1)</f>
        <v/>
      </c>
      <c r="E5" s="8" t="n"/>
      <c r="F5" s="8" t="n"/>
      <c r="G5" s="8" t="n"/>
      <c r="H5" s="9">
        <f>IFERROR('Base historica'!C5/'Base historica'!I5,0)</f>
        <v/>
      </c>
      <c r="I5" s="9">
        <f>IFERROR('Base historica'!D5/'Base historica'!I5,0)</f>
        <v/>
      </c>
      <c r="J5" s="9">
        <f>IFERROR('Base historica'!E5/'Base historica'!I5,0)</f>
        <v/>
      </c>
      <c r="K5" s="9">
        <f>IFERROR('Base historica'!F5/'Base historica'!I5,0)</f>
        <v/>
      </c>
      <c r="L5" s="9">
        <f>IFERROR('Base historica'!G5/'Base historica'!I5,0)</f>
        <v/>
      </c>
      <c r="M5" s="9">
        <f>IFERROR('Base historica'!H5/'Base historica'!I5,0)</f>
        <v/>
      </c>
      <c r="N5" s="10">
        <f>ROUND($D5*H5,0)</f>
        <v/>
      </c>
      <c r="O5" s="10">
        <f>ROUND($D5*I5,0)</f>
        <v/>
      </c>
      <c r="P5" s="10">
        <f>D5-N5-O5-Q5-R5-S5</f>
        <v/>
      </c>
      <c r="Q5" s="10">
        <f>ROUND($D5*K5,0)</f>
        <v/>
      </c>
      <c r="R5" s="10">
        <f>ROUND($D5*L5,0)</f>
        <v/>
      </c>
      <c r="S5" s="10">
        <f>ROUND($D5*M5,0)</f>
        <v/>
      </c>
      <c r="T5" s="11">
        <f>SUM(N5:S5)</f>
        <v/>
      </c>
      <c r="U5" s="8">
        <f>IF(T5=D5,"OK","REVISAR")</f>
        <v/>
      </c>
    </row>
    <row r="6">
      <c r="A6" s="4" t="inlineStr">
        <is>
          <t>Mesh manga corta</t>
        </is>
      </c>
      <c r="B6" s="5" t="inlineStr">
        <is>
          <t>XS–XL</t>
        </is>
      </c>
      <c r="C6" s="6" t="n">
        <v>720</v>
      </c>
      <c r="D6" s="7">
        <f>ROUND(C6*Parametros!$B$3,-1)</f>
        <v/>
      </c>
      <c r="E6" s="8" t="n"/>
      <c r="F6" s="8" t="n"/>
      <c r="G6" s="8" t="n"/>
      <c r="H6" s="9">
        <f>IFERROR('Base historica'!C6/'Base historica'!I6,0)</f>
        <v/>
      </c>
      <c r="I6" s="9">
        <f>IFERROR('Base historica'!D6/'Base historica'!I6,0)</f>
        <v/>
      </c>
      <c r="J6" s="9">
        <f>IFERROR('Base historica'!E6/'Base historica'!I6,0)</f>
        <v/>
      </c>
      <c r="K6" s="9">
        <f>IFERROR('Base historica'!F6/'Base historica'!I6,0)</f>
        <v/>
      </c>
      <c r="L6" s="9">
        <f>IFERROR('Base historica'!G6/'Base historica'!I6,0)</f>
        <v/>
      </c>
      <c r="M6" s="9">
        <f>IFERROR('Base historica'!H6/'Base historica'!I6,0)</f>
        <v/>
      </c>
      <c r="N6" s="10">
        <f>ROUND($D6*H6,0)</f>
        <v/>
      </c>
      <c r="O6" s="10">
        <f>ROUND($D6*I6,0)</f>
        <v/>
      </c>
      <c r="P6" s="10">
        <f>D6-N6-O6-Q6-R6-S6</f>
        <v/>
      </c>
      <c r="Q6" s="10">
        <f>ROUND($D6*K6,0)</f>
        <v/>
      </c>
      <c r="R6" s="10">
        <f>ROUND($D6*L6,0)</f>
        <v/>
      </c>
      <c r="S6" s="10">
        <f>ROUND($D6*M6,0)</f>
        <v/>
      </c>
      <c r="T6" s="11">
        <f>SUM(N6:S6)</f>
        <v/>
      </c>
      <c r="U6" s="8">
        <f>IF(T6=D6,"OK","REVISAR")</f>
        <v/>
      </c>
    </row>
    <row r="7">
      <c r="A7" s="4" t="inlineStr">
        <is>
          <t>Body negro</t>
        </is>
      </c>
      <c r="B7" s="5" t="inlineStr">
        <is>
          <t>S–XL</t>
        </is>
      </c>
      <c r="C7" s="6" t="n">
        <v>600</v>
      </c>
      <c r="D7" s="7">
        <f>ROUND(C7*Parametros!$B$3,-1)</f>
        <v/>
      </c>
      <c r="E7" s="8" t="n"/>
      <c r="F7" s="8" t="n"/>
      <c r="G7" s="8" t="n"/>
      <c r="H7" s="9">
        <f>IFERROR('Base historica'!C7/'Base historica'!I7,0)</f>
        <v/>
      </c>
      <c r="I7" s="9">
        <f>IFERROR('Base historica'!D7/'Base historica'!I7,0)</f>
        <v/>
      </c>
      <c r="J7" s="9">
        <f>IFERROR('Base historica'!E7/'Base historica'!I7,0)</f>
        <v/>
      </c>
      <c r="K7" s="9">
        <f>IFERROR('Base historica'!F7/'Base historica'!I7,0)</f>
        <v/>
      </c>
      <c r="L7" s="9">
        <f>IFERROR('Base historica'!G7/'Base historica'!I7,0)</f>
        <v/>
      </c>
      <c r="M7" s="9">
        <f>IFERROR('Base historica'!H7/'Base historica'!I7,0)</f>
        <v/>
      </c>
      <c r="N7" s="10">
        <f>ROUND($D7*H7,0)</f>
        <v/>
      </c>
      <c r="O7" s="10">
        <f>ROUND($D7*I7,0)</f>
        <v/>
      </c>
      <c r="P7" s="10">
        <f>D7-N7-O7-Q7-R7-S7</f>
        <v/>
      </c>
      <c r="Q7" s="10">
        <f>ROUND($D7*K7,0)</f>
        <v/>
      </c>
      <c r="R7" s="10">
        <f>ROUND($D7*L7,0)</f>
        <v/>
      </c>
      <c r="S7" s="10">
        <f>ROUND($D7*M7,0)</f>
        <v/>
      </c>
      <c r="T7" s="11">
        <f>SUM(N7:S7)</f>
        <v/>
      </c>
      <c r="U7" s="8">
        <f>IF(T7=D7,"OK","REVISAR")</f>
        <v/>
      </c>
    </row>
    <row r="8">
      <c r="A8" s="4" t="inlineStr">
        <is>
          <t>Mesh manga larga</t>
        </is>
      </c>
      <c r="B8" s="5" t="inlineStr">
        <is>
          <t>XS–XL</t>
        </is>
      </c>
      <c r="C8" s="6" t="n">
        <v>708</v>
      </c>
      <c r="D8" s="7">
        <f>ROUND(C8*Parametros!$B$3,-1)</f>
        <v/>
      </c>
      <c r="E8" s="8" t="n"/>
      <c r="F8" s="8" t="n"/>
      <c r="G8" s="8" t="n"/>
      <c r="H8" s="9">
        <f>IFERROR('Base historica'!C8/'Base historica'!I8,0)</f>
        <v/>
      </c>
      <c r="I8" s="9">
        <f>IFERROR('Base historica'!D8/'Base historica'!I8,0)</f>
        <v/>
      </c>
      <c r="J8" s="9">
        <f>IFERROR('Base historica'!E8/'Base historica'!I8,0)</f>
        <v/>
      </c>
      <c r="K8" s="9">
        <f>IFERROR('Base historica'!F8/'Base historica'!I8,0)</f>
        <v/>
      </c>
      <c r="L8" s="9">
        <f>IFERROR('Base historica'!G8/'Base historica'!I8,0)</f>
        <v/>
      </c>
      <c r="M8" s="9">
        <f>IFERROR('Base historica'!H8/'Base historica'!I8,0)</f>
        <v/>
      </c>
      <c r="N8" s="10">
        <f>ROUND($D8*H8,0)</f>
        <v/>
      </c>
      <c r="O8" s="10">
        <f>ROUND($D8*I8,0)</f>
        <v/>
      </c>
      <c r="P8" s="10">
        <f>D8-N8-O8-Q8-R8-S8</f>
        <v/>
      </c>
      <c r="Q8" s="10">
        <f>ROUND($D8*K8,0)</f>
        <v/>
      </c>
      <c r="R8" s="10">
        <f>ROUND($D8*L8,0)</f>
        <v/>
      </c>
      <c r="S8" s="10">
        <f>ROUND($D8*M8,0)</f>
        <v/>
      </c>
      <c r="T8" s="11">
        <f>SUM(N8:S8)</f>
        <v/>
      </c>
      <c r="U8" s="8">
        <f>IF(T8=D8,"OK","REVISAR")</f>
        <v/>
      </c>
    </row>
    <row r="9">
      <c r="A9" s="4" t="inlineStr">
        <is>
          <t>Camiseta Tshirt</t>
        </is>
      </c>
      <c r="B9" s="5" t="inlineStr">
        <is>
          <t>XS–XL</t>
        </is>
      </c>
      <c r="C9" s="6" t="n">
        <v>576</v>
      </c>
      <c r="D9" s="7">
        <f>ROUND(C9*Parametros!$B$3,-1)</f>
        <v/>
      </c>
      <c r="E9" s="8" t="n"/>
      <c r="F9" s="8" t="n"/>
      <c r="G9" s="8" t="n"/>
      <c r="H9" s="9">
        <f>IFERROR('Base historica'!C9/'Base historica'!I9,0)</f>
        <v/>
      </c>
      <c r="I9" s="9">
        <f>IFERROR('Base historica'!D9/'Base historica'!I9,0)</f>
        <v/>
      </c>
      <c r="J9" s="9">
        <f>IFERROR('Base historica'!E9/'Base historica'!I9,0)</f>
        <v/>
      </c>
      <c r="K9" s="9">
        <f>IFERROR('Base historica'!F9/'Base historica'!I9,0)</f>
        <v/>
      </c>
      <c r="L9" s="9">
        <f>IFERROR('Base historica'!G9/'Base historica'!I9,0)</f>
        <v/>
      </c>
      <c r="M9" s="9">
        <f>IFERROR('Base historica'!H9/'Base historica'!I9,0)</f>
        <v/>
      </c>
      <c r="N9" s="10">
        <f>ROUND($D9*H9,0)</f>
        <v/>
      </c>
      <c r="O9" s="10">
        <f>ROUND($D9*I9,0)</f>
        <v/>
      </c>
      <c r="P9" s="10">
        <f>D9-N9-O9-Q9-R9-S9</f>
        <v/>
      </c>
      <c r="Q9" s="10">
        <f>ROUND($D9*K9,0)</f>
        <v/>
      </c>
      <c r="R9" s="10">
        <f>ROUND($D9*L9,0)</f>
        <v/>
      </c>
      <c r="S9" s="10">
        <f>ROUND($D9*M9,0)</f>
        <v/>
      </c>
      <c r="T9" s="11">
        <f>SUM(N9:S9)</f>
        <v/>
      </c>
      <c r="U9" s="8">
        <f>IF(T9=D9,"OK","REVISAR")</f>
        <v/>
      </c>
    </row>
    <row r="10">
      <c r="A10" s="12" t="inlineStr">
        <is>
          <t>Tank top blanca</t>
        </is>
      </c>
      <c r="B10" s="13" t="inlineStr">
        <is>
          <t>S–L</t>
        </is>
      </c>
      <c r="C10" s="14" t="inlineStr">
        <is>
          <t>Nueva</t>
        </is>
      </c>
      <c r="D10" s="15">
        <f>Parametros!B7</f>
        <v/>
      </c>
      <c r="E10" s="16" t="n"/>
      <c r="F10" s="16" t="n"/>
      <c r="G10" s="16" t="n"/>
      <c r="H10" s="17">
        <f>IFERROR('Base historica'!C10/'Base historica'!I10,0)</f>
        <v/>
      </c>
      <c r="I10" s="17">
        <f>IFERROR('Base historica'!D10/'Base historica'!I10,0)</f>
        <v/>
      </c>
      <c r="J10" s="17">
        <f>IFERROR('Base historica'!E10/'Base historica'!I10,0)</f>
        <v/>
      </c>
      <c r="K10" s="17">
        <f>IFERROR('Base historica'!F10/'Base historica'!I10,0)</f>
        <v/>
      </c>
      <c r="L10" s="17">
        <f>IFERROR('Base historica'!G10/'Base historica'!I10,0)</f>
        <v/>
      </c>
      <c r="M10" s="17">
        <f>IFERROR('Base historica'!H10/'Base historica'!I10,0)</f>
        <v/>
      </c>
      <c r="N10" s="18">
        <f>ROUND($D10*H10,0)</f>
        <v/>
      </c>
      <c r="O10" s="18">
        <f>ROUND($D10*I10,0)</f>
        <v/>
      </c>
      <c r="P10" s="18">
        <f>D10-N10-O10-Q10-R10-S10</f>
        <v/>
      </c>
      <c r="Q10" s="18">
        <f>ROUND($D10*K10,0)</f>
        <v/>
      </c>
      <c r="R10" s="18">
        <f>ROUND($D10*L10,0)</f>
        <v/>
      </c>
      <c r="S10" s="18">
        <f>ROUND($D10*M10,0)</f>
        <v/>
      </c>
      <c r="T10" s="19">
        <f>SUM(N10:S10)</f>
        <v/>
      </c>
      <c r="U10" s="16">
        <f>IF(T10=D10,"OK","REVISAR")</f>
        <v/>
      </c>
    </row>
    <row r="11">
      <c r="A11" s="12" t="inlineStr">
        <is>
          <t>Tank top negra</t>
        </is>
      </c>
      <c r="B11" s="13" t="inlineStr">
        <is>
          <t>S–L</t>
        </is>
      </c>
      <c r="C11" s="14" t="inlineStr">
        <is>
          <t>Nueva</t>
        </is>
      </c>
      <c r="D11" s="15">
        <f>Parametros!B8</f>
        <v/>
      </c>
      <c r="E11" s="16" t="n"/>
      <c r="F11" s="16" t="n"/>
      <c r="G11" s="16" t="n"/>
      <c r="H11" s="17">
        <f>IFERROR('Base historica'!C11/'Base historica'!I11,0)</f>
        <v/>
      </c>
      <c r="I11" s="17">
        <f>IFERROR('Base historica'!D11/'Base historica'!I11,0)</f>
        <v/>
      </c>
      <c r="J11" s="17">
        <f>IFERROR('Base historica'!E11/'Base historica'!I11,0)</f>
        <v/>
      </c>
      <c r="K11" s="17">
        <f>IFERROR('Base historica'!F11/'Base historica'!I11,0)</f>
        <v/>
      </c>
      <c r="L11" s="17">
        <f>IFERROR('Base historica'!G11/'Base historica'!I11,0)</f>
        <v/>
      </c>
      <c r="M11" s="17">
        <f>IFERROR('Base historica'!H11/'Base historica'!I11,0)</f>
        <v/>
      </c>
      <c r="N11" s="18">
        <f>ROUND($D11*H11,0)</f>
        <v/>
      </c>
      <c r="O11" s="18">
        <f>ROUND($D11*I11,0)</f>
        <v/>
      </c>
      <c r="P11" s="18">
        <f>D11-N11-O11-Q11-R11-S11</f>
        <v/>
      </c>
      <c r="Q11" s="18">
        <f>ROUND($D11*K11,0)</f>
        <v/>
      </c>
      <c r="R11" s="18">
        <f>ROUND($D11*L11,0)</f>
        <v/>
      </c>
      <c r="S11" s="18">
        <f>ROUND($D11*M11,0)</f>
        <v/>
      </c>
      <c r="T11" s="19">
        <f>SUM(N11:S11)</f>
        <v/>
      </c>
      <c r="U11" s="16">
        <f>IF(T11=D11,"OK","REVISAR")</f>
        <v/>
      </c>
    </row>
    <row r="12">
      <c r="A12" s="12" t="inlineStr">
        <is>
          <t>Bikini</t>
        </is>
      </c>
      <c r="B12" s="13" t="inlineStr">
        <is>
          <t>S–L (conjunto)</t>
        </is>
      </c>
      <c r="C12" s="14" t="inlineStr">
        <is>
          <t>Nueva</t>
        </is>
      </c>
      <c r="D12" s="15">
        <f>Parametros!B9</f>
        <v/>
      </c>
      <c r="E12" s="16" t="n"/>
      <c r="F12" s="16" t="n"/>
      <c r="G12" s="16" t="n"/>
      <c r="H12" s="17">
        <f>IFERROR('Base historica'!C12/'Base historica'!I12,0)</f>
        <v/>
      </c>
      <c r="I12" s="17">
        <f>IFERROR('Base historica'!D12/'Base historica'!I12,0)</f>
        <v/>
      </c>
      <c r="J12" s="17">
        <f>IFERROR('Base historica'!E12/'Base historica'!I12,0)</f>
        <v/>
      </c>
      <c r="K12" s="17">
        <f>IFERROR('Base historica'!F12/'Base historica'!I12,0)</f>
        <v/>
      </c>
      <c r="L12" s="17">
        <f>IFERROR('Base historica'!G12/'Base historica'!I12,0)</f>
        <v/>
      </c>
      <c r="M12" s="17">
        <f>IFERROR('Base historica'!H12/'Base historica'!I12,0)</f>
        <v/>
      </c>
      <c r="N12" s="18">
        <f>ROUND($D12*H12,0)</f>
        <v/>
      </c>
      <c r="O12" s="18">
        <f>ROUND($D12*I12,0)</f>
        <v/>
      </c>
      <c r="P12" s="18">
        <f>D12-N12-O12-Q12-R12-S12</f>
        <v/>
      </c>
      <c r="Q12" s="18">
        <f>ROUND($D12*K12,0)</f>
        <v/>
      </c>
      <c r="R12" s="18">
        <f>ROUND($D12*L12,0)</f>
        <v/>
      </c>
      <c r="S12" s="18">
        <f>ROUND($D12*M12,0)</f>
        <v/>
      </c>
      <c r="T12" s="19">
        <f>SUM(N12:S12)</f>
        <v/>
      </c>
      <c r="U12" s="16">
        <f>IF(T12=D12,"OK","REVISAR")</f>
        <v/>
      </c>
    </row>
    <row r="13">
      <c r="A13" s="12" t="inlineStr">
        <is>
          <t>Pareo</t>
        </is>
      </c>
      <c r="B13" s="13" t="inlineStr">
        <is>
          <t>Talla única</t>
        </is>
      </c>
      <c r="C13" s="14" t="inlineStr">
        <is>
          <t>Nueva</t>
        </is>
      </c>
      <c r="D13" s="15">
        <f>Parametros!B10</f>
        <v/>
      </c>
      <c r="E13" s="16" t="n"/>
      <c r="F13" s="16" t="n"/>
      <c r="G13" s="16" t="n"/>
      <c r="H13" s="17">
        <f>IFERROR('Base historica'!C13/'Base historica'!I13,0)</f>
        <v/>
      </c>
      <c r="I13" s="17">
        <f>IFERROR('Base historica'!D13/'Base historica'!I13,0)</f>
        <v/>
      </c>
      <c r="J13" s="17">
        <f>IFERROR('Base historica'!E13/'Base historica'!I13,0)</f>
        <v/>
      </c>
      <c r="K13" s="17">
        <f>IFERROR('Base historica'!F13/'Base historica'!I13,0)</f>
        <v/>
      </c>
      <c r="L13" s="17">
        <f>IFERROR('Base historica'!G13/'Base historica'!I13,0)</f>
        <v/>
      </c>
      <c r="M13" s="17">
        <f>IFERROR('Base historica'!H13/'Base historica'!I13,0)</f>
        <v/>
      </c>
      <c r="N13" s="18">
        <f>ROUND($D13*H13,0)</f>
        <v/>
      </c>
      <c r="O13" s="18">
        <f>ROUND($D13*I13,0)</f>
        <v/>
      </c>
      <c r="P13" s="18">
        <f>D13-N13-O13-Q13-R13-S13</f>
        <v/>
      </c>
      <c r="Q13" s="18">
        <f>ROUND($D13*K13,0)</f>
        <v/>
      </c>
      <c r="R13" s="18">
        <f>ROUND($D13*L13,0)</f>
        <v/>
      </c>
      <c r="S13" s="18">
        <f>ROUND($D13*M13,0)</f>
        <v/>
      </c>
      <c r="T13" s="19">
        <f>SUM(N13:S13)</f>
        <v/>
      </c>
      <c r="U13" s="16">
        <f>IF(T13=D13,"OK","REVISAR")</f>
        <v/>
      </c>
    </row>
    <row r="14">
      <c r="A14" s="20" t="inlineStr">
        <is>
          <t>TOTAL GRUPO</t>
        </is>
      </c>
      <c r="B14" s="21" t="n"/>
      <c r="C14" s="22">
        <f>SUM(C5:C13)</f>
        <v/>
      </c>
      <c r="D14" s="22">
        <f>SUM(D5:D13)</f>
        <v/>
      </c>
      <c r="E14" s="21" t="n"/>
      <c r="F14" s="21" t="n"/>
      <c r="G14" s="21" t="n"/>
      <c r="H14" s="23">
        <f>IFERROR(N14/$T14,0)</f>
        <v/>
      </c>
      <c r="I14" s="23">
        <f>IFERROR(O14/$T14,0)</f>
        <v/>
      </c>
      <c r="J14" s="23">
        <f>IFERROR(P14/$T14,0)</f>
        <v/>
      </c>
      <c r="K14" s="23">
        <f>IFERROR(Q14/$T14,0)</f>
        <v/>
      </c>
      <c r="L14" s="23">
        <f>IFERROR(R14/$T14,0)</f>
        <v/>
      </c>
      <c r="M14" s="23">
        <f>IFERROR(S14/$T14,0)</f>
        <v/>
      </c>
      <c r="N14" s="22">
        <f>SUM(N5:N13)</f>
        <v/>
      </c>
      <c r="O14" s="22">
        <f>SUM(O5:O13)</f>
        <v/>
      </c>
      <c r="P14" s="22">
        <f>SUM(P5:P13)</f>
        <v/>
      </c>
      <c r="Q14" s="22">
        <f>SUM(Q5:Q13)</f>
        <v/>
      </c>
      <c r="R14" s="22">
        <f>SUM(R5:R13)</f>
        <v/>
      </c>
      <c r="S14" s="22">
        <f>SUM(S5:S13)</f>
        <v/>
      </c>
      <c r="T14" s="22">
        <f>SUM(T5:T13)</f>
        <v/>
      </c>
      <c r="U14" s="20">
        <f>IF(D14&gt;=Parametros!B4,"≥ mínimo","BAJO MÍNIMO")</f>
        <v/>
      </c>
    </row>
    <row r="16">
      <c r="A16" s="24" t="inlineStr">
        <is>
          <t>Unidades originales (5 ref.)</t>
        </is>
      </c>
      <c r="D16" s="25">
        <f>SUMIF(C5:C13,"&gt;0",D5:D13)</f>
        <v/>
      </c>
    </row>
    <row r="17">
      <c r="A17" s="24" t="inlineStr">
        <is>
          <t>Unidades nuevas (4 ref.)</t>
        </is>
      </c>
      <c r="D17" s="25">
        <f>D14-D16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10" customWidth="1" min="3" max="3"/>
  </cols>
  <sheetData>
    <row r="1">
      <c r="A1" s="26" t="inlineStr">
        <is>
          <t>Parámetros del ajuste (celdas amarillas = editables)</t>
        </is>
      </c>
    </row>
    <row r="3">
      <c r="A3" s="27" t="inlineStr">
        <is>
          <t>Factor de ajuste referencias originales</t>
        </is>
      </c>
      <c r="B3" s="28" t="n">
        <v>0.9</v>
      </c>
      <c r="C3" s="2" t="inlineStr">
        <is>
          <t>Se aplica al escenario BAJO 80% de las 5 referencias originales y se redondea a la decena, para hacer espacio a las 4 nuevas.</t>
        </is>
      </c>
    </row>
    <row r="4">
      <c r="A4" s="27" t="inlineStr">
        <is>
          <t>Total mínimo del grupo</t>
        </is>
      </c>
      <c r="B4" s="29" t="n">
        <v>3500</v>
      </c>
      <c r="C4" s="2" t="inlineStr">
        <is>
          <t>Pedido de Mauricio (29-sep-2026): subir el grupo a mínimo 3.500 u.</t>
        </is>
      </c>
    </row>
    <row r="6">
      <c r="A6" s="27" t="inlineStr">
        <is>
          <t>Unidades de referencias nuevas</t>
        </is>
      </c>
    </row>
    <row r="7">
      <c r="A7" s="24" t="inlineStr">
        <is>
          <t>Tank top blanca</t>
        </is>
      </c>
      <c r="B7" s="29" t="n">
        <v>180</v>
      </c>
      <c r="C7" s="2" t="inlineStr">
        <is>
          <t>Blanco y negro en partes iguales: en Mompossina las versiones blancas y negras venden parecido (ej. mesh long sleeve 76 vs 91 u; t-shirt bordada 90 vs 45; soul shine 90 vs 107).</t>
        </is>
      </c>
    </row>
    <row r="8">
      <c r="A8" s="24" t="inlineStr">
        <is>
          <t>Tank top negra</t>
        </is>
      </c>
      <c r="B8" s="29" t="n">
        <v>180</v>
      </c>
      <c r="C8" s="2" t="inlineStr">
        <is>
          <t>Ídem. Juntas (360 u) + camiseta de tiras (540) = 900 u de camisetas sin manga.</t>
        </is>
      </c>
    </row>
    <row r="9">
      <c r="A9" s="24" t="inlineStr">
        <is>
          <t>Bikini</t>
        </is>
      </c>
      <c r="B9" s="29" t="n">
        <v>160</v>
      </c>
      <c r="C9" s="2" t="inlineStr">
        <is>
          <t>Un bikini por unidad (top + bottom de la misma talla). Nivel similar a un collar del plan original (160).</t>
        </is>
      </c>
    </row>
    <row r="10">
      <c r="A10" s="24" t="inlineStr">
        <is>
          <t>Pareo</t>
        </is>
      </c>
      <c r="B10" s="29" t="n">
        <v>130</v>
      </c>
      <c r="C10" s="2" t="inlineStr">
        <is>
          <t>Un pareo vende ~25% de una t-shirt por modelo en el historial (23 vs ~96 u); 25% de 520 = 130.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26" t="inlineStr">
        <is>
          <t>Estimado original (correo 14-sep-2026) y ajustes acordados</t>
        </is>
      </c>
    </row>
    <row r="3">
      <c r="A3" s="3" t="inlineStr">
        <is>
          <t>Referencia</t>
        </is>
      </c>
      <c r="B3" s="3" t="inlineStr">
        <is>
          <t>BAJO (80%)</t>
        </is>
      </c>
      <c r="C3" s="3" t="inlineStr">
        <is>
          <t>CONSERVADOR (100%)</t>
        </is>
      </c>
      <c r="D3" s="3" t="inlineStr">
        <is>
          <t>OPTIMISTA (120%)</t>
        </is>
      </c>
      <c r="E3" s="3" t="inlineStr">
        <is>
          <t>Estado</t>
        </is>
      </c>
      <c r="F3" s="3" t="inlineStr">
        <is>
          <t>BAJO sin Jean/collares (v1)</t>
        </is>
      </c>
      <c r="G3" s="3" t="inlineStr">
        <is>
          <t>Final v2</t>
        </is>
      </c>
    </row>
    <row r="4">
      <c r="A4" s="30" t="inlineStr">
        <is>
          <t>Camiseta de tiras</t>
        </is>
      </c>
      <c r="B4" s="6" t="n">
        <v>600</v>
      </c>
      <c r="C4" s="6" t="n">
        <v>750</v>
      </c>
      <c r="D4" s="6" t="n">
        <v>900</v>
      </c>
      <c r="E4" s="31" t="inlineStr">
        <is>
          <t>Sale</t>
        </is>
      </c>
      <c r="F4" s="32">
        <f>IF(E4="Sale",B4,0)</f>
        <v/>
      </c>
      <c r="G4" s="32">
        <f>IF(E4="Sale",'Curva final'!D5,0)</f>
        <v/>
      </c>
    </row>
    <row r="5">
      <c r="A5" s="30" t="inlineStr">
        <is>
          <t>Mesh manga corta</t>
        </is>
      </c>
      <c r="B5" s="6" t="n">
        <v>720</v>
      </c>
      <c r="C5" s="6" t="n">
        <v>900</v>
      </c>
      <c r="D5" s="6" t="n">
        <v>1080</v>
      </c>
      <c r="E5" s="31" t="inlineStr">
        <is>
          <t>Sale</t>
        </is>
      </c>
      <c r="F5" s="32">
        <f>IF(E5="Sale",B5,0)</f>
        <v/>
      </c>
      <c r="G5" s="32">
        <f>IF(E5="Sale",'Curva final'!D6,0)</f>
        <v/>
      </c>
    </row>
    <row r="6">
      <c r="A6" s="30" t="inlineStr">
        <is>
          <t>Body negro</t>
        </is>
      </c>
      <c r="B6" s="6" t="n">
        <v>600</v>
      </c>
      <c r="C6" s="6" t="n">
        <v>750</v>
      </c>
      <c r="D6" s="6" t="n">
        <v>900</v>
      </c>
      <c r="E6" s="31" t="inlineStr">
        <is>
          <t>Sale</t>
        </is>
      </c>
      <c r="F6" s="32">
        <f>IF(E6="Sale",B6,0)</f>
        <v/>
      </c>
      <c r="G6" s="32">
        <f>IF(E6="Sale",'Curva final'!D7,0)</f>
        <v/>
      </c>
    </row>
    <row r="7">
      <c r="A7" s="30" t="inlineStr">
        <is>
          <t>Mesh manga larga</t>
        </is>
      </c>
      <c r="B7" s="6" t="n">
        <v>708</v>
      </c>
      <c r="C7" s="6" t="n">
        <v>885</v>
      </c>
      <c r="D7" s="6" t="n">
        <v>1062</v>
      </c>
      <c r="E7" s="31" t="inlineStr">
        <is>
          <t>Sale</t>
        </is>
      </c>
      <c r="F7" s="32">
        <f>IF(E7="Sale",B7,0)</f>
        <v/>
      </c>
      <c r="G7" s="32">
        <f>IF(E7="Sale",'Curva final'!D8,0)</f>
        <v/>
      </c>
    </row>
    <row r="8">
      <c r="A8" s="30" t="inlineStr">
        <is>
          <t>Camiseta Tshirt</t>
        </is>
      </c>
      <c r="B8" s="6" t="n">
        <v>576</v>
      </c>
      <c r="C8" s="6" t="n">
        <v>720</v>
      </c>
      <c r="D8" s="6" t="n">
        <v>864</v>
      </c>
      <c r="E8" s="31" t="inlineStr">
        <is>
          <t>Sale</t>
        </is>
      </c>
      <c r="F8" s="32">
        <f>IF(E8="Sale",B8,0)</f>
        <v/>
      </c>
      <c r="G8" s="32">
        <f>IF(E8="Sale",'Curva final'!D9,0)</f>
        <v/>
      </c>
    </row>
    <row r="9">
      <c r="A9" s="30" t="inlineStr">
        <is>
          <t>Jean</t>
        </is>
      </c>
      <c r="B9" s="6" t="n">
        <v>240</v>
      </c>
      <c r="C9" s="6" t="n">
        <v>300</v>
      </c>
      <c r="D9" s="6" t="n">
        <v>360</v>
      </c>
      <c r="E9" s="33" t="inlineStr">
        <is>
          <t>NO SALE</t>
        </is>
      </c>
      <c r="F9" s="32">
        <f>IF(E9="Sale",B9,0)</f>
        <v/>
      </c>
      <c r="G9" s="32">
        <f>IF(E9="Sale",'Curva final'!D10,0)</f>
        <v/>
      </c>
    </row>
    <row r="10">
      <c r="A10" s="30" t="inlineStr">
        <is>
          <t>Collar "Sonrisa"</t>
        </is>
      </c>
      <c r="B10" s="6" t="n">
        <v>160</v>
      </c>
      <c r="C10" s="6" t="n">
        <v>200</v>
      </c>
      <c r="D10" s="6" t="n">
        <v>240</v>
      </c>
      <c r="E10" s="33" t="inlineStr">
        <is>
          <t>NO SALE</t>
        </is>
      </c>
      <c r="F10" s="32">
        <f>IF(E10="Sale",B10,0)</f>
        <v/>
      </c>
      <c r="G10" s="32">
        <f>IF(E10="Sale",'Curva final'!D11,0)</f>
        <v/>
      </c>
    </row>
    <row r="11">
      <c r="A11" s="30" t="inlineStr">
        <is>
          <t>Collar "Sol"</t>
        </is>
      </c>
      <c r="B11" s="6" t="n">
        <v>160</v>
      </c>
      <c r="C11" s="6" t="n">
        <v>200</v>
      </c>
      <c r="D11" s="6" t="n">
        <v>240</v>
      </c>
      <c r="E11" s="33" t="inlineStr">
        <is>
          <t>NO SALE</t>
        </is>
      </c>
      <c r="F11" s="32">
        <f>IF(E11="Sale",B11,0)</f>
        <v/>
      </c>
      <c r="G11" s="32">
        <f>IF(E11="Sale",'Curva final'!D12,0)</f>
        <v/>
      </c>
    </row>
    <row r="12">
      <c r="A12" s="30" t="inlineStr">
        <is>
          <t>Collar "Corazón"</t>
        </is>
      </c>
      <c r="B12" s="6" t="n">
        <v>160</v>
      </c>
      <c r="C12" s="6" t="n">
        <v>200</v>
      </c>
      <c r="D12" s="6" t="n">
        <v>240</v>
      </c>
      <c r="E12" s="33" t="inlineStr">
        <is>
          <t>NO SALE</t>
        </is>
      </c>
      <c r="F12" s="32">
        <f>IF(E12="Sale",B12,0)</f>
        <v/>
      </c>
      <c r="G12" s="32">
        <f>IF(E12="Sale",'Curva final'!D13,0)</f>
        <v/>
      </c>
    </row>
    <row r="13">
      <c r="A13" s="34" t="inlineStr">
        <is>
          <t>Tank top blanca</t>
        </is>
      </c>
      <c r="B13" s="16" t="n"/>
      <c r="C13" s="16" t="n"/>
      <c r="D13" s="16" t="n"/>
      <c r="E13" s="35" t="inlineStr">
        <is>
          <t>Nueva</t>
        </is>
      </c>
      <c r="F13" s="16" t="n"/>
      <c r="G13" s="36">
        <f>'Curva final'!D10</f>
        <v/>
      </c>
    </row>
    <row r="14">
      <c r="A14" s="34" t="inlineStr">
        <is>
          <t>Tank top negra</t>
        </is>
      </c>
      <c r="B14" s="16" t="n"/>
      <c r="C14" s="16" t="n"/>
      <c r="D14" s="16" t="n"/>
      <c r="E14" s="35" t="inlineStr">
        <is>
          <t>Nueva</t>
        </is>
      </c>
      <c r="F14" s="16" t="n"/>
      <c r="G14" s="36">
        <f>'Curva final'!D11</f>
        <v/>
      </c>
    </row>
    <row r="15">
      <c r="A15" s="34" t="inlineStr">
        <is>
          <t>Bikini</t>
        </is>
      </c>
      <c r="B15" s="16" t="n"/>
      <c r="C15" s="16" t="n"/>
      <c r="D15" s="16" t="n"/>
      <c r="E15" s="35" t="inlineStr">
        <is>
          <t>Nueva</t>
        </is>
      </c>
      <c r="F15" s="16" t="n"/>
      <c r="G15" s="36">
        <f>'Curva final'!D12</f>
        <v/>
      </c>
    </row>
    <row r="16">
      <c r="A16" s="34" t="inlineStr">
        <is>
          <t>Pareo</t>
        </is>
      </c>
      <c r="B16" s="16" t="n"/>
      <c r="C16" s="16" t="n"/>
      <c r="D16" s="16" t="n"/>
      <c r="E16" s="35" t="inlineStr">
        <is>
          <t>Nueva</t>
        </is>
      </c>
      <c r="F16" s="16" t="n"/>
      <c r="G16" s="36">
        <f>'Curva final'!D13</f>
        <v/>
      </c>
    </row>
    <row r="17">
      <c r="A17" s="27" t="inlineStr">
        <is>
          <t>TOTAL</t>
        </is>
      </c>
      <c r="B17" s="37">
        <f>SUM(B4:B16)</f>
        <v/>
      </c>
      <c r="C17" s="37">
        <f>SUM(C4:C16)</f>
        <v/>
      </c>
      <c r="D17" s="37">
        <f>SUM(D4:D16)</f>
        <v/>
      </c>
      <c r="F17" s="37">
        <f>SUM(F4:F16)</f>
        <v/>
      </c>
      <c r="G17" s="37">
        <f>SUM(G4:G16)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100" customWidth="1" min="3" max="3"/>
  </cols>
  <sheetData>
    <row r="1">
      <c r="A1" s="26" t="inlineStr">
        <is>
          <t>Alertas y puntos a validar antes de emitir la OP</t>
        </is>
      </c>
    </row>
    <row r="3">
      <c r="A3" s="3" t="inlineStr">
        <is>
          <t>Nivel</t>
        </is>
      </c>
      <c r="B3" s="3" t="inlineStr">
        <is>
          <t>Tema</t>
        </is>
      </c>
      <c r="C3" s="3" t="inlineStr">
        <is>
          <t>Detalle / acción</t>
        </is>
      </c>
    </row>
    <row r="4">
      <c r="A4" s="38" t="inlineStr">
        <is>
          <t>ALTA</t>
        </is>
      </c>
      <c r="B4" s="39" t="inlineStr">
        <is>
          <t>Unidades de referencias nuevas</t>
        </is>
      </c>
      <c r="C4" s="40" t="inlineStr">
        <is>
          <t>Tank 180 + 180, bikini 160, pareo 130 son estimados sin historial Karol G (reparto aprobado por Mauricio 29-sep). Editables en "Parametros".</t>
        </is>
      </c>
    </row>
    <row r="5">
      <c r="A5" s="41" t="inlineStr">
        <is>
          <t>MEDIA</t>
        </is>
      </c>
      <c r="B5" s="39" t="inlineStr">
        <is>
          <t>Recorte a originales</t>
        </is>
      </c>
      <c r="C5" s="40" t="inlineStr">
        <is>
          <t>Las 5 referencias originales bajan 10% (3.204 → 2.890 u) para abrir espacio a las nuevas (aprobado).</t>
        </is>
      </c>
    </row>
    <row r="6">
      <c r="A6" s="41" t="inlineStr">
        <is>
          <t>MEDIA</t>
        </is>
      </c>
      <c r="B6" s="39" t="inlineStr">
        <is>
          <t>Camisetas sin manga</t>
        </is>
      </c>
      <c r="C6" s="40" t="inlineStr">
        <is>
          <t>Camiseta de tiras + 2 tank tops = 900 u de un mismo tipo de prenda; riesgo de canibalización entre ellas.</t>
        </is>
      </c>
    </row>
    <row r="7">
      <c r="A7" s="41" t="inlineStr">
        <is>
          <t>MEDIA</t>
        </is>
      </c>
      <c r="B7" s="39" t="inlineStr">
        <is>
          <t>Mesh manga larga</t>
        </is>
      </c>
      <c r="C7" s="40" t="inlineStr">
        <is>
          <t>Usa solo el historial de mesh manga larga (167 u): muestra pequeña. La curva es casi igual a la de mesh long shirts (4.467 u).</t>
        </is>
      </c>
    </row>
    <row r="8">
      <c r="A8" s="41" t="inlineStr">
        <is>
          <t>MEDIA</t>
        </is>
      </c>
      <c r="B8" s="39" t="inlineStr">
        <is>
          <t>Solo canal Shopify</t>
        </is>
      </c>
      <c r="C8" s="40" t="inlineStr">
        <is>
          <t>El historial no incluye mayoristas ni exportación. Un pedido mayorista de Karol G debe sumar su curva aparte.</t>
        </is>
      </c>
    </row>
    <row r="9">
      <c r="A9" s="41" t="inlineStr">
        <is>
          <t>MEDIA</t>
        </is>
      </c>
      <c r="B9" s="39" t="inlineStr">
        <is>
          <t>Unidades pequeñas en extremos</t>
        </is>
      </c>
      <c r="C9" s="40" t="inlineStr">
        <is>
          <t>Varias tallas XS/XL y la L del bikini quedan con menos de 60 u; validar mínimos por corte con el satélite.</t>
        </is>
      </c>
    </row>
    <row r="10">
      <c r="A10" s="41" t="inlineStr">
        <is>
          <t>MEDIA</t>
        </is>
      </c>
      <c r="B10" s="39" t="inlineStr">
        <is>
          <t>Bikini: top y bottom</t>
        </is>
      </c>
      <c r="C10" s="40" t="inlineStr">
        <is>
          <t>Se vende como conjunto: producir top y bottom en la misma cantidad por talla (160 conjuntos = 160 tops + 160 bottoms).</t>
        </is>
      </c>
    </row>
    <row r="11">
      <c r="A11" s="41" t="inlineStr">
        <is>
          <t>MEDIA</t>
        </is>
      </c>
      <c r="B11" s="39" t="inlineStr">
        <is>
          <t>Insumos de Jean y collares</t>
        </is>
      </c>
      <c r="C11" s="40" t="inlineStr">
        <is>
          <t>Si ya se compró o separó tela o herrajes para Jean y collares (720 u), cancelar o reasignar.</t>
        </is>
      </c>
    </row>
    <row r="12">
      <c r="A12" s="42" t="inlineStr">
        <is>
          <t>INFO</t>
        </is>
      </c>
      <c r="B12" s="39" t="inlineStr">
        <is>
          <t>Tiempos</t>
        </is>
      </c>
      <c r="C12" s="40" t="inlineStr">
        <is>
          <t>4 referencias nuevas requieren patronaje/muestra. Confirmar fecha compromiso del satélite para fin de año.</t>
        </is>
      </c>
    </row>
    <row r="13">
      <c r="A13" s="43" t="inlineStr">
        <is>
          <t>OK</t>
        </is>
      </c>
      <c r="B13" s="39" t="inlineStr">
        <is>
          <t>Tallajes confirmados</t>
        </is>
      </c>
      <c r="C13" s="40" t="inlineStr">
        <is>
          <t>Camiseta de tiras S–XL, Body negro S–XL, Tank tops S–L, Bikini S–L (conjunto), Mesh = manga larga, 1 color por referencia.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0" customWidth="1" min="1" max="1"/>
    <col width="7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>
      <c r="A1" s="26" t="inlineStr">
        <is>
          <t>Unidades netas vendidas por talla (Shopify, últimos 24 meses, corte 29-sep-2026)</t>
        </is>
      </c>
    </row>
    <row r="2">
      <c r="A2" s="2" t="inlineStr">
        <is>
          <t>Fuente: ShopifyQL FROM sales net_items_sold GROUP BY product_title, variant. Solo canal Shopify (web + showroom); no incluye mayoristas.</t>
        </is>
      </c>
    </row>
    <row r="4">
      <c r="A4" s="3" t="inlineStr">
        <is>
          <t>Referencia Karol G</t>
        </is>
      </c>
      <c r="B4" s="3" t="inlineStr">
        <is>
          <t>Base análoga usada</t>
        </is>
      </c>
      <c r="C4" s="3" t="inlineStr">
        <is>
          <t>XS</t>
        </is>
      </c>
      <c r="D4" s="3" t="inlineStr">
        <is>
          <t>S</t>
        </is>
      </c>
      <c r="E4" s="3" t="inlineStr">
        <is>
          <t>M</t>
        </is>
      </c>
      <c r="F4" s="3" t="inlineStr">
        <is>
          <t>L</t>
        </is>
      </c>
      <c r="G4" s="3" t="inlineStr">
        <is>
          <t>XL</t>
        </is>
      </c>
      <c r="H4" s="3" t="inlineStr">
        <is>
          <t>UN</t>
        </is>
      </c>
      <c r="I4" s="3" t="inlineStr">
        <is>
          <t>Total</t>
        </is>
      </c>
    </row>
    <row r="5">
      <c r="A5" s="30" t="inlineStr">
        <is>
          <t>Camiseta de tiras</t>
        </is>
      </c>
      <c r="B5" s="5" t="inlineStr">
        <is>
          <t>T-shirts Mompossina sin Colombia, renormalizado a S–XL (tallaje confirmado)</t>
        </is>
      </c>
      <c r="C5" s="44" t="n">
        <v>0</v>
      </c>
      <c r="D5" s="44" t="n">
        <v>415</v>
      </c>
      <c r="E5" s="44" t="n">
        <v>614</v>
      </c>
      <c r="F5" s="44" t="n">
        <v>290</v>
      </c>
      <c r="G5" s="44" t="n">
        <v>155</v>
      </c>
      <c r="H5" s="44" t="n">
        <v>0</v>
      </c>
      <c r="I5" s="45">
        <f>SUM(C5:H5)</f>
        <v/>
      </c>
    </row>
    <row r="6">
      <c r="A6" s="30" t="inlineStr">
        <is>
          <t>Mesh manga corta</t>
        </is>
      </c>
      <c r="B6" s="5" t="inlineStr">
        <is>
          <t>Mesh shirts manga corta (sin Colombia Mesh Shirt)</t>
        </is>
      </c>
      <c r="C6" s="44" t="n">
        <v>324</v>
      </c>
      <c r="D6" s="44" t="n">
        <v>1090</v>
      </c>
      <c r="E6" s="44" t="n">
        <v>1403</v>
      </c>
      <c r="F6" s="44" t="n">
        <v>839</v>
      </c>
      <c r="G6" s="44" t="n">
        <v>392</v>
      </c>
      <c r="H6" s="44" t="n">
        <v>0</v>
      </c>
      <c r="I6" s="45">
        <f>SUM(C6:H6)</f>
        <v/>
      </c>
    </row>
    <row r="7">
      <c r="A7" s="30" t="inlineStr">
        <is>
          <t>Body negro</t>
        </is>
      </c>
      <c r="B7" s="5" t="inlineStr">
        <is>
          <t>Todos los bodies (tallaje S–XL confirmado)</t>
        </is>
      </c>
      <c r="C7" s="44" t="n">
        <v>0</v>
      </c>
      <c r="D7" s="44" t="n">
        <v>217</v>
      </c>
      <c r="E7" s="44" t="n">
        <v>240</v>
      </c>
      <c r="F7" s="44" t="n">
        <v>166</v>
      </c>
      <c r="G7" s="44" t="n">
        <v>73</v>
      </c>
      <c r="H7" s="44" t="n">
        <v>0</v>
      </c>
      <c r="I7" s="45">
        <f>SUM(C7:H7)</f>
        <v/>
      </c>
    </row>
    <row r="8">
      <c r="A8" s="30" t="inlineStr">
        <is>
          <t>Mesh manga larga</t>
        </is>
      </c>
      <c r="B8" s="5" t="inlineStr">
        <is>
          <t>Mesh LONG SLEEVE shirts (I'm Black / I'm White) — manga larga confirmada</t>
        </is>
      </c>
      <c r="C8" s="44" t="n">
        <v>11</v>
      </c>
      <c r="D8" s="44" t="n">
        <v>50</v>
      </c>
      <c r="E8" s="44" t="n">
        <v>57</v>
      </c>
      <c r="F8" s="44" t="n">
        <v>31</v>
      </c>
      <c r="G8" s="44" t="n">
        <v>18</v>
      </c>
      <c r="H8" s="44" t="n">
        <v>0</v>
      </c>
      <c r="I8" s="45">
        <f>SUM(C8:H8)</f>
        <v/>
      </c>
    </row>
    <row r="9">
      <c r="A9" s="30" t="inlineStr">
        <is>
          <t>Camiseta Tshirt</t>
        </is>
      </c>
      <c r="B9" s="5" t="inlineStr">
        <is>
          <t>T-shirts Mompossina (sin Colombia T-shirt)</t>
        </is>
      </c>
      <c r="C9" s="44" t="n">
        <v>162</v>
      </c>
      <c r="D9" s="44" t="n">
        <v>415</v>
      </c>
      <c r="E9" s="44" t="n">
        <v>614</v>
      </c>
      <c r="F9" s="44" t="n">
        <v>290</v>
      </c>
      <c r="G9" s="44" t="n">
        <v>155</v>
      </c>
      <c r="H9" s="44" t="n">
        <v>0</v>
      </c>
      <c r="I9" s="45">
        <f>SUM(C9:H9)</f>
        <v/>
      </c>
    </row>
    <row r="10">
      <c r="A10" s="30" t="inlineStr">
        <is>
          <t>Tank top blanca</t>
        </is>
      </c>
      <c r="B10" s="5" t="inlineStr">
        <is>
          <t>Amor Tank Top (96 u) + T-shirts sin Colombia, solo S–L (tallaje confirmado)</t>
        </is>
      </c>
      <c r="C10" s="44" t="n">
        <v>0</v>
      </c>
      <c r="D10" s="44" t="n">
        <v>443</v>
      </c>
      <c r="E10" s="44" t="n">
        <v>656</v>
      </c>
      <c r="F10" s="44" t="n">
        <v>316</v>
      </c>
      <c r="G10" s="44" t="n">
        <v>0</v>
      </c>
      <c r="H10" s="44" t="n">
        <v>0</v>
      </c>
      <c r="I10" s="45">
        <f>SUM(C10:H10)</f>
        <v/>
      </c>
    </row>
    <row r="11">
      <c r="A11" s="30" t="inlineStr">
        <is>
          <t>Tank top negra</t>
        </is>
      </c>
      <c r="B11" s="5" t="inlineStr">
        <is>
          <t>Amor Tank Top (96 u) + T-shirts sin Colombia, solo S–L (tallaje confirmado)</t>
        </is>
      </c>
      <c r="C11" s="44" t="n">
        <v>0</v>
      </c>
      <c r="D11" s="44" t="n">
        <v>443</v>
      </c>
      <c r="E11" s="44" t="n">
        <v>656</v>
      </c>
      <c r="F11" s="44" t="n">
        <v>316</v>
      </c>
      <c r="G11" s="44" t="n">
        <v>0</v>
      </c>
      <c r="H11" s="44" t="n">
        <v>0</v>
      </c>
      <c r="I11" s="45">
        <f>SUM(C11:H11)</f>
        <v/>
      </c>
    </row>
    <row r="12">
      <c r="A12" s="30" t="inlineStr">
        <is>
          <t>Bikini</t>
        </is>
      </c>
      <c r="B12" s="5" t="inlineStr">
        <is>
          <t>Tops de bikini + bottoms Mompossina, S–L (tallaje confirmado; se vende como conjunto)</t>
        </is>
      </c>
      <c r="C12" s="44" t="n">
        <v>0</v>
      </c>
      <c r="D12" s="44" t="n">
        <v>864</v>
      </c>
      <c r="E12" s="44" t="n">
        <v>1434</v>
      </c>
      <c r="F12" s="44" t="n">
        <v>733</v>
      </c>
      <c r="G12" s="44" t="n">
        <v>0</v>
      </c>
      <c r="H12" s="44" t="n">
        <v>0</v>
      </c>
      <c r="I12" s="45">
        <f>SUM(C12:H12)</f>
        <v/>
      </c>
    </row>
    <row r="13">
      <c r="A13" s="30" t="inlineStr">
        <is>
          <t>Pareo</t>
        </is>
      </c>
      <c r="B13" s="5" t="inlineStr">
        <is>
          <t>Talla única</t>
        </is>
      </c>
      <c r="C13" s="44" t="n">
        <v>0</v>
      </c>
      <c r="D13" s="44" t="n">
        <v>0</v>
      </c>
      <c r="E13" s="44" t="n">
        <v>0</v>
      </c>
      <c r="F13" s="44" t="n">
        <v>0</v>
      </c>
      <c r="G13" s="44" t="n">
        <v>0</v>
      </c>
      <c r="H13" s="44" t="n">
        <v>1</v>
      </c>
      <c r="I13" s="45">
        <f>SUM(C13:H13)</f>
        <v/>
      </c>
    </row>
    <row r="15">
      <c r="A15" s="2" t="inlineStr">
        <is>
          <t>No usadas (curva atípica): COLOMBIA MESH SHIRT XS 992 / S 1090 / M 1131 / L 1691 / XL 760 + 4.527 u sin talla; COLOMBIA T-SHIRT XS 657 / S 1407 / M 1393 / L 594 / XL 243.</t>
        </is>
      </c>
    </row>
    <row r="16">
      <c r="A16" s="2" t="inlineStr">
        <is>
          <t>Pareos históricos: 656 u en 28 modelos (≈23 u por modelo). Tank top: Amor Tank Top 96 u (S 28 / M 42 / L 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2026-09-29T20:59:33Z</dcterms:created>
  <dcterms:modified xsi:type="dcterms:W3CDTF">2026-09-29T20:59:33Z</dcterms:modified>
</cp:coreProperties>
</file>