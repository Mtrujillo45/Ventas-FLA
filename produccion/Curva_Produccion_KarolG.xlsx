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final" sheetId="1" state="visible" r:id="rId1"/>
    <sheet name="Escenarios" sheetId="2" state="visible" r:id="rId2"/>
    <sheet name="Alertas" sheetId="3" state="visible" r:id="rId3"/>
    <sheet name="Base histori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sz val="9"/>
    </font>
    <font>
      <name val="Arial"/>
      <color rgb="000000FF"/>
    </font>
    <font>
      <name val="Arial"/>
      <b val="1"/>
    </font>
    <font>
      <name val="Arial"/>
      <b val="1"/>
      <sz val="13"/>
    </font>
    <font>
      <name val="Arial"/>
      <color rgb="00008000"/>
    </font>
    <font>
      <name val="Arial"/>
      <b val="1"/>
      <color rgb="0015803D"/>
    </font>
    <font>
      <name val="Arial"/>
      <b val="1"/>
      <color rgb="00B91C1C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7" fillId="0" borderId="1" pivotButton="0" quotePrefix="0" xfId="0"/>
    <xf numFmtId="3" fontId="6" fillId="0" borderId="1" pivotButton="0" quotePrefix="0" xfId="0"/>
    <xf numFmtId="164" fontId="9" fillId="0" borderId="1" pivotButton="0" quotePrefix="0" xfId="0"/>
    <xf numFmtId="3" fontId="4" fillId="0" borderId="1" pivotButton="0" quotePrefix="0" xfId="0"/>
    <xf numFmtId="3" fontId="7" fillId="0" borderId="1" pivotButton="0" quotePrefix="0" xfId="0"/>
    <xf numFmtId="0" fontId="0" fillId="0" borderId="1" pivotButton="0" quotePrefix="0" xfId="0"/>
    <xf numFmtId="0" fontId="7" fillId="3" borderId="1" pivotButton="0" quotePrefix="0" xfId="0"/>
    <xf numFmtId="3" fontId="7" fillId="3" borderId="1" pivotButton="0" quotePrefix="0" xfId="0"/>
    <xf numFmtId="164" fontId="7" fillId="3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10" fillId="0" borderId="1" pivotButton="0" quotePrefix="0" xfId="0"/>
    <xf numFmtId="3" fontId="0" fillId="0" borderId="1" pivotButton="0" quotePrefix="0" xfId="0"/>
    <xf numFmtId="0" fontId="11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164" fontId="0" fillId="0" borderId="0" pivotButton="0" quotePrefix="0" xfId="0"/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B5" authorId="0" shapeId="0">
      <text>
        <t>Fuente: correo "Curvas Karol G" (14-sep-2026), columna BAJO (80%).</t>
      </text>
    </comment>
    <comment ref="B6" authorId="0" shapeId="0">
      <text>
        <t>Fuente: correo "Curvas Karol G" (14-sep-2026), columna BAJO (80%).</t>
      </text>
    </comment>
    <comment ref="B7" authorId="0" shapeId="0">
      <text>
        <t>Fuente: correo "Curvas Karol G" (14-sep-2026), columna BAJO (80%).</t>
      </text>
    </comment>
    <comment ref="B8" authorId="0" shapeId="0">
      <text>
        <t>Fuente: correo "Curvas Karol G" (14-sep-2026), columna BAJO (80%).</t>
      </text>
    </comment>
    <comment ref="B9" authorId="0" shapeId="0">
      <text>
        <t>Fuente: correo "Curvas Karol G" (14-sep-2026), columna BAJO (80%).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KAROL G — Curva de producción final (Escenario BAJO 80%, sin Jean ni collares)</t>
        </is>
      </c>
    </row>
    <row r="2">
      <c r="A2" s="2" t="inlineStr">
        <is>
          <t>Azul = dato de entrada (total del escenario). Unidades por talla = total × % histórico; la talla M absorbe el redondeo para cuadrar el total exacto.</t>
        </is>
      </c>
    </row>
    <row r="4" ht="30" customHeight="1">
      <c r="A4" s="3" t="inlineStr">
        <is>
          <t>Referencia</t>
        </is>
      </c>
      <c r="B4" s="3" t="inlineStr">
        <is>
          <t>Total BAJO 80%</t>
        </is>
      </c>
      <c r="C4" s="3" t="inlineStr">
        <is>
          <t>% XS</t>
        </is>
      </c>
      <c r="D4" s="3" t="inlineStr">
        <is>
          <t>% S</t>
        </is>
      </c>
      <c r="E4" s="3" t="inlineStr">
        <is>
          <t>% M</t>
        </is>
      </c>
      <c r="F4" s="3" t="inlineStr">
        <is>
          <t>% L</t>
        </is>
      </c>
      <c r="G4" s="3" t="inlineStr">
        <is>
          <t>% XL</t>
        </is>
      </c>
      <c r="H4" s="3" t="inlineStr">
        <is>
          <t>XS</t>
        </is>
      </c>
      <c r="I4" s="3" t="inlineStr">
        <is>
          <t>S</t>
        </is>
      </c>
      <c r="J4" s="3" t="inlineStr">
        <is>
          <t>M</t>
        </is>
      </c>
      <c r="K4" s="3" t="inlineStr">
        <is>
          <t>L</t>
        </is>
      </c>
      <c r="L4" s="3" t="inlineStr">
        <is>
          <t>XL</t>
        </is>
      </c>
      <c r="M4" s="3" t="inlineStr">
        <is>
          <t>Total curva</t>
        </is>
      </c>
      <c r="N4" s="3" t="inlineStr">
        <is>
          <t>Check</t>
        </is>
      </c>
    </row>
    <row r="5">
      <c r="A5" s="4" t="inlineStr">
        <is>
          <t>Camiseta de tiras</t>
        </is>
      </c>
      <c r="B5" s="5" t="n">
        <v>600</v>
      </c>
      <c r="C5" s="6">
        <f>IFERROR('Base historica'!C5/'Base historica'!H5,0)</f>
        <v/>
      </c>
      <c r="D5" s="6">
        <f>IFERROR('Base historica'!D5/'Base historica'!H5,0)</f>
        <v/>
      </c>
      <c r="E5" s="6">
        <f>IFERROR('Base historica'!E5/'Base historica'!H5,0)</f>
        <v/>
      </c>
      <c r="F5" s="6">
        <f>IFERROR('Base historica'!F5/'Base historica'!H5,0)</f>
        <v/>
      </c>
      <c r="G5" s="6">
        <f>IFERROR('Base historica'!G5/'Base historica'!H5,0)</f>
        <v/>
      </c>
      <c r="H5" s="7">
        <f>ROUND($B5*C5,0)</f>
        <v/>
      </c>
      <c r="I5" s="7">
        <f>ROUND($B5*D5,0)</f>
        <v/>
      </c>
      <c r="J5" s="7">
        <f>B5-H5-I5-K5-L5</f>
        <v/>
      </c>
      <c r="K5" s="7">
        <f>ROUND($B5*F5,0)</f>
        <v/>
      </c>
      <c r="L5" s="7">
        <f>ROUND($B5*G5,0)</f>
        <v/>
      </c>
      <c r="M5" s="8">
        <f>SUM(H5:L5)</f>
        <v/>
      </c>
      <c r="N5" s="9">
        <f>IF(M5=B5,"OK","REVISAR")</f>
        <v/>
      </c>
    </row>
    <row r="6">
      <c r="A6" s="4" t="inlineStr">
        <is>
          <t>Mesh manga corta</t>
        </is>
      </c>
      <c r="B6" s="5" t="n">
        <v>720</v>
      </c>
      <c r="C6" s="6">
        <f>IFERROR('Base historica'!C6/'Base historica'!H6,0)</f>
        <v/>
      </c>
      <c r="D6" s="6">
        <f>IFERROR('Base historica'!D6/'Base historica'!H6,0)</f>
        <v/>
      </c>
      <c r="E6" s="6">
        <f>IFERROR('Base historica'!E6/'Base historica'!H6,0)</f>
        <v/>
      </c>
      <c r="F6" s="6">
        <f>IFERROR('Base historica'!F6/'Base historica'!H6,0)</f>
        <v/>
      </c>
      <c r="G6" s="6">
        <f>IFERROR('Base historica'!G6/'Base historica'!H6,0)</f>
        <v/>
      </c>
      <c r="H6" s="7">
        <f>ROUND($B6*C6,0)</f>
        <v/>
      </c>
      <c r="I6" s="7">
        <f>ROUND($B6*D6,0)</f>
        <v/>
      </c>
      <c r="J6" s="7">
        <f>B6-H6-I6-K6-L6</f>
        <v/>
      </c>
      <c r="K6" s="7">
        <f>ROUND($B6*F6,0)</f>
        <v/>
      </c>
      <c r="L6" s="7">
        <f>ROUND($B6*G6,0)</f>
        <v/>
      </c>
      <c r="M6" s="8">
        <f>SUM(H6:L6)</f>
        <v/>
      </c>
      <c r="N6" s="9">
        <f>IF(M6=B6,"OK","REVISAR")</f>
        <v/>
      </c>
    </row>
    <row r="7">
      <c r="A7" s="4" t="inlineStr">
        <is>
          <t>Body negro</t>
        </is>
      </c>
      <c r="B7" s="5" t="n">
        <v>600</v>
      </c>
      <c r="C7" s="6">
        <f>IFERROR('Base historica'!C7/'Base historica'!H7,0)</f>
        <v/>
      </c>
      <c r="D7" s="6">
        <f>IFERROR('Base historica'!D7/'Base historica'!H7,0)</f>
        <v/>
      </c>
      <c r="E7" s="6">
        <f>IFERROR('Base historica'!E7/'Base historica'!H7,0)</f>
        <v/>
      </c>
      <c r="F7" s="6">
        <f>IFERROR('Base historica'!F7/'Base historica'!H7,0)</f>
        <v/>
      </c>
      <c r="G7" s="6">
        <f>IFERROR('Base historica'!G7/'Base historica'!H7,0)</f>
        <v/>
      </c>
      <c r="H7" s="7">
        <f>ROUND($B7*C7,0)</f>
        <v/>
      </c>
      <c r="I7" s="7">
        <f>ROUND($B7*D7,0)</f>
        <v/>
      </c>
      <c r="J7" s="7">
        <f>B7-H7-I7-K7-L7</f>
        <v/>
      </c>
      <c r="K7" s="7">
        <f>ROUND($B7*F7,0)</f>
        <v/>
      </c>
      <c r="L7" s="7">
        <f>ROUND($B7*G7,0)</f>
        <v/>
      </c>
      <c r="M7" s="8">
        <f>SUM(H7:L7)</f>
        <v/>
      </c>
      <c r="N7" s="9">
        <f>IF(M7=B7,"OK","REVISAR")</f>
        <v/>
      </c>
    </row>
    <row r="8">
      <c r="A8" s="4" t="inlineStr">
        <is>
          <t>Mesh manga larga</t>
        </is>
      </c>
      <c r="B8" s="5" t="n">
        <v>708</v>
      </c>
      <c r="C8" s="6">
        <f>IFERROR('Base historica'!C8/'Base historica'!H8,0)</f>
        <v/>
      </c>
      <c r="D8" s="6">
        <f>IFERROR('Base historica'!D8/'Base historica'!H8,0)</f>
        <v/>
      </c>
      <c r="E8" s="6">
        <f>IFERROR('Base historica'!E8/'Base historica'!H8,0)</f>
        <v/>
      </c>
      <c r="F8" s="6">
        <f>IFERROR('Base historica'!F8/'Base historica'!H8,0)</f>
        <v/>
      </c>
      <c r="G8" s="6">
        <f>IFERROR('Base historica'!G8/'Base historica'!H8,0)</f>
        <v/>
      </c>
      <c r="H8" s="7">
        <f>ROUND($B8*C8,0)</f>
        <v/>
      </c>
      <c r="I8" s="7">
        <f>ROUND($B8*D8,0)</f>
        <v/>
      </c>
      <c r="J8" s="7">
        <f>B8-H8-I8-K8-L8</f>
        <v/>
      </c>
      <c r="K8" s="7">
        <f>ROUND($B8*F8,0)</f>
        <v/>
      </c>
      <c r="L8" s="7">
        <f>ROUND($B8*G8,0)</f>
        <v/>
      </c>
      <c r="M8" s="8">
        <f>SUM(H8:L8)</f>
        <v/>
      </c>
      <c r="N8" s="9">
        <f>IF(M8=B8,"OK","REVISAR")</f>
        <v/>
      </c>
    </row>
    <row r="9">
      <c r="A9" s="4" t="inlineStr">
        <is>
          <t>Camiseta Tshirt</t>
        </is>
      </c>
      <c r="B9" s="5" t="n">
        <v>576</v>
      </c>
      <c r="C9" s="6">
        <f>IFERROR('Base historica'!C9/'Base historica'!H9,0)</f>
        <v/>
      </c>
      <c r="D9" s="6">
        <f>IFERROR('Base historica'!D9/'Base historica'!H9,0)</f>
        <v/>
      </c>
      <c r="E9" s="6">
        <f>IFERROR('Base historica'!E9/'Base historica'!H9,0)</f>
        <v/>
      </c>
      <c r="F9" s="6">
        <f>IFERROR('Base historica'!F9/'Base historica'!H9,0)</f>
        <v/>
      </c>
      <c r="G9" s="6">
        <f>IFERROR('Base historica'!G9/'Base historica'!H9,0)</f>
        <v/>
      </c>
      <c r="H9" s="7">
        <f>ROUND($B9*C9,0)</f>
        <v/>
      </c>
      <c r="I9" s="7">
        <f>ROUND($B9*D9,0)</f>
        <v/>
      </c>
      <c r="J9" s="7">
        <f>B9-H9-I9-K9-L9</f>
        <v/>
      </c>
      <c r="K9" s="7">
        <f>ROUND($B9*F9,0)</f>
        <v/>
      </c>
      <c r="L9" s="7">
        <f>ROUND($B9*G9,0)</f>
        <v/>
      </c>
      <c r="M9" s="8">
        <f>SUM(H9:L9)</f>
        <v/>
      </c>
      <c r="N9" s="9">
        <f>IF(M9=B9,"OK","REVISAR")</f>
        <v/>
      </c>
    </row>
    <row r="10">
      <c r="A10" s="10" t="inlineStr">
        <is>
          <t>TOTAL</t>
        </is>
      </c>
      <c r="B10" s="11">
        <f>SUM(B5:B9)</f>
        <v/>
      </c>
      <c r="C10" s="12">
        <f>IFERROR(H10/$M10,0)</f>
        <v/>
      </c>
      <c r="D10" s="12">
        <f>IFERROR(I10/$M10,0)</f>
        <v/>
      </c>
      <c r="E10" s="12">
        <f>IFERROR(J10/$M10,0)</f>
        <v/>
      </c>
      <c r="F10" s="12">
        <f>IFERROR(K10/$M10,0)</f>
        <v/>
      </c>
      <c r="G10" s="12">
        <f>IFERROR(L10/$M10,0)</f>
        <v/>
      </c>
      <c r="H10" s="11">
        <f>SUM(H5:H9)</f>
        <v/>
      </c>
      <c r="I10" s="11">
        <f>SUM(I5:I9)</f>
        <v/>
      </c>
      <c r="J10" s="11">
        <f>SUM(J5:J9)</f>
        <v/>
      </c>
      <c r="K10" s="11">
        <f>SUM(K5:K9)</f>
        <v/>
      </c>
      <c r="L10" s="11">
        <f>SUM(L5:L9)</f>
        <v/>
      </c>
      <c r="M10" s="11">
        <f>SUM(M5:M9)</f>
        <v/>
      </c>
      <c r="N10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4" t="inlineStr">
        <is>
          <t>Estimado original (correo 14-sep-2026) y ajuste acordado</t>
        </is>
      </c>
    </row>
    <row r="3">
      <c r="A3" s="15" t="inlineStr">
        <is>
          <t>Referencia</t>
        </is>
      </c>
      <c r="B3" s="15" t="inlineStr">
        <is>
          <t>BAJO (80%)</t>
        </is>
      </c>
      <c r="C3" s="15" t="inlineStr">
        <is>
          <t>CONSERVADOR (100%)</t>
        </is>
      </c>
      <c r="D3" s="15" t="inlineStr">
        <is>
          <t>OPTIMISTA (120%)</t>
        </is>
      </c>
      <c r="E3" s="15" t="inlineStr">
        <is>
          <t>Estado</t>
        </is>
      </c>
      <c r="F3" s="15" t="inlineStr">
        <is>
          <t>BAJO final</t>
        </is>
      </c>
    </row>
    <row r="4">
      <c r="A4" s="16" t="inlineStr">
        <is>
          <t>Camiseta de tiras</t>
        </is>
      </c>
      <c r="B4" s="5" t="n">
        <v>600</v>
      </c>
      <c r="C4" s="5" t="n">
        <v>750</v>
      </c>
      <c r="D4" s="5" t="n">
        <v>900</v>
      </c>
      <c r="E4" s="17" t="inlineStr">
        <is>
          <t>Sale</t>
        </is>
      </c>
      <c r="F4" s="18">
        <f>IF(E4="Sale",B4,0)</f>
        <v/>
      </c>
    </row>
    <row r="5">
      <c r="A5" s="16" t="inlineStr">
        <is>
          <t>Mesh manga corta</t>
        </is>
      </c>
      <c r="B5" s="5" t="n">
        <v>720</v>
      </c>
      <c r="C5" s="5" t="n">
        <v>900</v>
      </c>
      <c r="D5" s="5" t="n">
        <v>1080</v>
      </c>
      <c r="E5" s="17" t="inlineStr">
        <is>
          <t>Sale</t>
        </is>
      </c>
      <c r="F5" s="18">
        <f>IF(E5="Sale",B5,0)</f>
        <v/>
      </c>
    </row>
    <row r="6">
      <c r="A6" s="16" t="inlineStr">
        <is>
          <t>Body negro</t>
        </is>
      </c>
      <c r="B6" s="5" t="n">
        <v>600</v>
      </c>
      <c r="C6" s="5" t="n">
        <v>750</v>
      </c>
      <c r="D6" s="5" t="n">
        <v>900</v>
      </c>
      <c r="E6" s="17" t="inlineStr">
        <is>
          <t>Sale</t>
        </is>
      </c>
      <c r="F6" s="18">
        <f>IF(E6="Sale",B6,0)</f>
        <v/>
      </c>
    </row>
    <row r="7">
      <c r="A7" s="16" t="inlineStr">
        <is>
          <t>Mesh manga larga</t>
        </is>
      </c>
      <c r="B7" s="5" t="n">
        <v>708</v>
      </c>
      <c r="C7" s="5" t="n">
        <v>885</v>
      </c>
      <c r="D7" s="5" t="n">
        <v>1062</v>
      </c>
      <c r="E7" s="17" t="inlineStr">
        <is>
          <t>Sale</t>
        </is>
      </c>
      <c r="F7" s="18">
        <f>IF(E7="Sale",B7,0)</f>
        <v/>
      </c>
    </row>
    <row r="8">
      <c r="A8" s="16" t="inlineStr">
        <is>
          <t>Camiseta Tshirt</t>
        </is>
      </c>
      <c r="B8" s="5" t="n">
        <v>576</v>
      </c>
      <c r="C8" s="5" t="n">
        <v>720</v>
      </c>
      <c r="D8" s="5" t="n">
        <v>864</v>
      </c>
      <c r="E8" s="17" t="inlineStr">
        <is>
          <t>Sale</t>
        </is>
      </c>
      <c r="F8" s="18">
        <f>IF(E8="Sale",B8,0)</f>
        <v/>
      </c>
    </row>
    <row r="9">
      <c r="A9" s="16" t="inlineStr">
        <is>
          <t>Jean</t>
        </is>
      </c>
      <c r="B9" s="5" t="n">
        <v>240</v>
      </c>
      <c r="C9" s="5" t="n">
        <v>300</v>
      </c>
      <c r="D9" s="5" t="n">
        <v>360</v>
      </c>
      <c r="E9" s="19" t="inlineStr">
        <is>
          <t>NO SALE</t>
        </is>
      </c>
      <c r="F9" s="18">
        <f>IF(E9="Sale",B9,0)</f>
        <v/>
      </c>
    </row>
    <row r="10">
      <c r="A10" s="16" t="inlineStr">
        <is>
          <t>Collar "Sonrisa"</t>
        </is>
      </c>
      <c r="B10" s="5" t="n">
        <v>160</v>
      </c>
      <c r="C10" s="5" t="n">
        <v>200</v>
      </c>
      <c r="D10" s="5" t="n">
        <v>240</v>
      </c>
      <c r="E10" s="19" t="inlineStr">
        <is>
          <t>NO SALE</t>
        </is>
      </c>
      <c r="F10" s="18">
        <f>IF(E10="Sale",B10,0)</f>
        <v/>
      </c>
    </row>
    <row r="11">
      <c r="A11" s="16" t="inlineStr">
        <is>
          <t>Collar "Sol"</t>
        </is>
      </c>
      <c r="B11" s="5" t="n">
        <v>160</v>
      </c>
      <c r="C11" s="5" t="n">
        <v>200</v>
      </c>
      <c r="D11" s="5" t="n">
        <v>240</v>
      </c>
      <c r="E11" s="19" t="inlineStr">
        <is>
          <t>NO SALE</t>
        </is>
      </c>
      <c r="F11" s="18">
        <f>IF(E11="Sale",B11,0)</f>
        <v/>
      </c>
    </row>
    <row r="12">
      <c r="A12" s="16" t="inlineStr">
        <is>
          <t>Collar "Corazón"</t>
        </is>
      </c>
      <c r="B12" s="5" t="n">
        <v>160</v>
      </c>
      <c r="C12" s="5" t="n">
        <v>200</v>
      </c>
      <c r="D12" s="5" t="n">
        <v>240</v>
      </c>
      <c r="E12" s="19" t="inlineStr">
        <is>
          <t>NO SALE</t>
        </is>
      </c>
      <c r="F12" s="18">
        <f>IF(E12="Sale",B12,0)</f>
        <v/>
      </c>
    </row>
    <row r="13">
      <c r="A13" s="20" t="inlineStr">
        <is>
          <t>TOTAL</t>
        </is>
      </c>
      <c r="B13" s="21">
        <f>SUM(B4:B12)</f>
        <v/>
      </c>
      <c r="C13" s="21">
        <f>SUM(C4:C12)</f>
        <v/>
      </c>
      <c r="D13" s="21">
        <f>SUM(D4:D12)</f>
        <v/>
      </c>
      <c r="F13" s="21">
        <f>SUM(F4:F12)</f>
        <v/>
      </c>
    </row>
    <row r="15">
      <c r="A15" s="20" t="inlineStr">
        <is>
          <t>Unidades eliminadas</t>
        </is>
      </c>
      <c r="B15">
        <f>B13-F13</f>
        <v/>
      </c>
    </row>
    <row r="16">
      <c r="A16" s="20" t="inlineStr">
        <is>
          <t>% de reducción vs BAJO</t>
        </is>
      </c>
      <c r="B16" s="22">
        <f>IFERROR(B15/B13,0)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95" customWidth="1" min="3" max="3"/>
  </cols>
  <sheetData>
    <row r="1">
      <c r="A1" s="14" t="inlineStr">
        <is>
          <t>Alertas y puntos a validar antes de emitir la OP</t>
        </is>
      </c>
    </row>
    <row r="3">
      <c r="A3" s="15" t="inlineStr">
        <is>
          <t>Nivel</t>
        </is>
      </c>
      <c r="B3" s="15" t="inlineStr">
        <is>
          <t>Tema</t>
        </is>
      </c>
      <c r="C3" s="15" t="inlineStr">
        <is>
          <t>Detalle / acción</t>
        </is>
      </c>
    </row>
    <row r="4">
      <c r="A4" s="23" t="inlineStr">
        <is>
          <t>ALTA</t>
        </is>
      </c>
      <c r="B4" s="24" t="inlineStr">
        <is>
          <t>Sin historial propio</t>
        </is>
      </c>
      <c r="C4" s="25" t="inlineStr">
        <is>
          <t>La colección Karol G no existe en Shopify. Las curvas son un proxy de prendas análogas de Mompossina.</t>
        </is>
      </c>
    </row>
    <row r="5">
      <c r="A5" s="23" t="inlineStr">
        <is>
          <t>ALTA</t>
        </is>
      </c>
      <c r="B5" s="24" t="inlineStr">
        <is>
          <t>Camiseta de tiras sin base</t>
        </is>
      </c>
      <c r="C5" s="25" t="inlineStr">
        <is>
          <t>Solo hay 96 u históricas de tank tops y solo en S/M/L. Se usó la curva de T-shirts en XS–XL. Confirmar tallaje real.</t>
        </is>
      </c>
    </row>
    <row r="6">
      <c r="A6" s="23" t="inlineStr">
        <is>
          <t>ALTA</t>
        </is>
      </c>
      <c r="B6" s="24" t="inlineStr">
        <is>
          <t>Tallaje Body negro</t>
        </is>
      </c>
      <c r="C6" s="25" t="inlineStr">
        <is>
          <t>Los bodies nunca se han vendido en XS: la curva sale en S–XL (0 u en XS). Confirmar si se abre XS.</t>
        </is>
      </c>
    </row>
    <row r="7">
      <c r="A7" s="26" t="inlineStr">
        <is>
          <t>MEDIA</t>
        </is>
      </c>
      <c r="B7" s="24" t="inlineStr">
        <is>
          <t>Mesh manga larga</t>
        </is>
      </c>
      <c r="C7" s="25" t="inlineStr">
        <is>
          <t>Se agruparon "LONG SLEEVE" y "LONG SHIRT" (4.467 u). Si "manga larga" es solo la manga, la muestra propia es de 167 u (curva casi igual).</t>
        </is>
      </c>
    </row>
    <row r="8">
      <c r="A8" s="26" t="inlineStr">
        <is>
          <t>MEDIA</t>
        </is>
      </c>
      <c r="B8" s="24" t="inlineStr">
        <is>
          <t>Curvas Colombia excluidas</t>
        </is>
      </c>
      <c r="C8" s="25" t="inlineStr">
        <is>
          <t>Colombia Mesh Shirt tiene L como talla #1 (30%) y 4.527 u sin talla; Colombia T-shirt tiene más XS/S. Si Karol G se comporta como producto de fan masivo, la curva se corre hacia XS/S (T-shirt) o L (mesh).</t>
        </is>
      </c>
    </row>
    <row r="9">
      <c r="A9" s="26" t="inlineStr">
        <is>
          <t>MEDIA</t>
        </is>
      </c>
      <c r="B9" s="24" t="inlineStr">
        <is>
          <t>Solo canal Shopify</t>
        </is>
      </c>
      <c r="C9" s="25" t="inlineStr">
        <is>
          <t>El historial no incluye mayoristas ni exportación. Si hay pedido mayorista de Karol G, su curva debe sumarse aparte.</t>
        </is>
      </c>
    </row>
    <row r="10">
      <c r="A10" s="26" t="inlineStr">
        <is>
          <t>MEDIA</t>
        </is>
      </c>
      <c r="B10" s="24" t="inlineStr">
        <is>
          <t>Unidades pequeñas en extremos</t>
        </is>
      </c>
      <c r="C10" s="25" t="inlineStr">
        <is>
          <t>XS y XL quedan con cantidades bajas en algunas referencias; validar mínimos por corte/tendido con el satélite.</t>
        </is>
      </c>
    </row>
    <row r="11">
      <c r="A11" s="26" t="inlineStr">
        <is>
          <t>MEDIA</t>
        </is>
      </c>
      <c r="B11" s="24" t="inlineStr">
        <is>
          <t>Insumos de Jean y collares</t>
        </is>
      </c>
      <c r="C11" s="25" t="inlineStr">
        <is>
          <t>Si ya había compras o separaciones de tela/herrajes para Jean y collares (720 u), cancelarlas o reasignarlas.</t>
        </is>
      </c>
    </row>
    <row r="12">
      <c r="A12" s="27" t="inlineStr">
        <is>
          <t>INFO</t>
        </is>
      </c>
      <c r="B12" s="24" t="inlineStr">
        <is>
          <t>Colores</t>
        </is>
      </c>
      <c r="C12" s="25" t="inlineStr">
        <is>
          <t>Solo "Body negro" tiene color explícito. Confirmar color(es) de las otras 4 referencias; si hay más de un color, la curva se reparte por color.</t>
        </is>
      </c>
    </row>
    <row r="13">
      <c r="A13" s="27" t="inlineStr">
        <is>
          <t>INFO</t>
        </is>
      </c>
      <c r="B13" s="24" t="inlineStr">
        <is>
          <t>Tiempos</t>
        </is>
      </c>
      <c r="C13" s="25" t="inlineStr">
        <is>
          <t>Correo enviado 14-sep; hoy 29-sep. Con lanzamiento de fin de año, confirmar fecha compromiso del satélite.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4" t="inlineStr">
        <is>
          <t>Unidades netas vendidas por talla (Shopify, últimos 24 meses, corte 29-sep-2026)</t>
        </is>
      </c>
    </row>
    <row r="2">
      <c r="A2" s="2" t="inlineStr">
        <is>
          <t>Fuente: ShopifyQL FROM sales net_items_sold GROUP BY product_title, variant. Solo canal Shopify (web + showroom); no incluye mayoristas.</t>
        </is>
      </c>
    </row>
    <row r="4">
      <c r="A4" s="15" t="inlineStr">
        <is>
          <t>Referencia Karol G</t>
        </is>
      </c>
      <c r="B4" s="15" t="inlineStr">
        <is>
          <t>Base análoga usada</t>
        </is>
      </c>
      <c r="C4" s="15" t="inlineStr">
        <is>
          <t>XS</t>
        </is>
      </c>
      <c r="D4" s="15" t="inlineStr">
        <is>
          <t>S</t>
        </is>
      </c>
      <c r="E4" s="15" t="inlineStr">
        <is>
          <t>M</t>
        </is>
      </c>
      <c r="F4" s="15" t="inlineStr">
        <is>
          <t>L</t>
        </is>
      </c>
      <c r="G4" s="15" t="inlineStr">
        <is>
          <t>XL</t>
        </is>
      </c>
      <c r="H4" s="15" t="inlineStr">
        <is>
          <t>Total</t>
        </is>
      </c>
    </row>
    <row r="5">
      <c r="A5" s="16" t="inlineStr">
        <is>
          <t>Camiseta de tiras</t>
        </is>
      </c>
      <c r="B5" s="28" t="inlineStr">
        <is>
          <t>PROXY: T-shirts Mompossina (sin Colombia) — no hay historial de camisetas de tiras en XS–XL</t>
        </is>
      </c>
      <c r="C5" s="5" t="n">
        <v>162</v>
      </c>
      <c r="D5" s="5" t="n">
        <v>415</v>
      </c>
      <c r="E5" s="5" t="n">
        <v>614</v>
      </c>
      <c r="F5" s="5" t="n">
        <v>290</v>
      </c>
      <c r="G5" s="5" t="n">
        <v>155</v>
      </c>
      <c r="H5" s="8">
        <f>SUM(C5:G5)</f>
        <v/>
      </c>
    </row>
    <row r="6">
      <c r="A6" s="16" t="inlineStr">
        <is>
          <t>Mesh manga corta</t>
        </is>
      </c>
      <c r="B6" s="28" t="inlineStr">
        <is>
          <t>Mesh shirts manga corta (sin Colombia Mesh Shirt)</t>
        </is>
      </c>
      <c r="C6" s="5" t="n">
        <v>324</v>
      </c>
      <c r="D6" s="5" t="n">
        <v>1090</v>
      </c>
      <c r="E6" s="5" t="n">
        <v>1403</v>
      </c>
      <c r="F6" s="5" t="n">
        <v>839</v>
      </c>
      <c r="G6" s="5" t="n">
        <v>392</v>
      </c>
      <c r="H6" s="8">
        <f>SUM(C6:G6)</f>
        <v/>
      </c>
    </row>
    <row r="7">
      <c r="A7" s="16" t="inlineStr">
        <is>
          <t>Body negro</t>
        </is>
      </c>
      <c r="B7" s="28" t="inlineStr">
        <is>
          <t>Todos los bodies (sin XS en historial)</t>
        </is>
      </c>
      <c r="C7" s="5" t="n">
        <v>0</v>
      </c>
      <c r="D7" s="5" t="n">
        <v>217</v>
      </c>
      <c r="E7" s="5" t="n">
        <v>240</v>
      </c>
      <c r="F7" s="5" t="n">
        <v>166</v>
      </c>
      <c r="G7" s="5" t="n">
        <v>73</v>
      </c>
      <c r="H7" s="8">
        <f>SUM(C7:G7)</f>
        <v/>
      </c>
    </row>
    <row r="8">
      <c r="A8" s="16" t="inlineStr">
        <is>
          <t>Mesh manga larga</t>
        </is>
      </c>
      <c r="B8" s="28" t="inlineStr">
        <is>
          <t>Mesh long sleeve + mesh long shirts</t>
        </is>
      </c>
      <c r="C8" s="5" t="n">
        <v>422</v>
      </c>
      <c r="D8" s="5" t="n">
        <v>1169</v>
      </c>
      <c r="E8" s="5" t="n">
        <v>1434</v>
      </c>
      <c r="F8" s="5" t="n">
        <v>1007</v>
      </c>
      <c r="G8" s="5" t="n">
        <v>435</v>
      </c>
      <c r="H8" s="8">
        <f>SUM(C8:G8)</f>
        <v/>
      </c>
    </row>
    <row r="9">
      <c r="A9" s="16" t="inlineStr">
        <is>
          <t>Camiseta Tshirt</t>
        </is>
      </c>
      <c r="B9" s="28" t="inlineStr">
        <is>
          <t>T-shirts Mompossina (sin Colombia T-shirt)</t>
        </is>
      </c>
      <c r="C9" s="5" t="n">
        <v>162</v>
      </c>
      <c r="D9" s="5" t="n">
        <v>415</v>
      </c>
      <c r="E9" s="5" t="n">
        <v>614</v>
      </c>
      <c r="F9" s="5" t="n">
        <v>290</v>
      </c>
      <c r="G9" s="5" t="n">
        <v>155</v>
      </c>
      <c r="H9" s="8">
        <f>SUM(C9:G9)</f>
        <v/>
      </c>
    </row>
    <row r="11">
      <c r="A11" s="2" t="inlineStr">
        <is>
          <t>Referencia no usada (curva atípica): COLOMBIA MESH SHIRT XS 992 / S 1090 / M 1131 / L 1691 / XL 760 + 4.527 u sin talla; COLOMBIA T-SHIRT XS 657 / S 1407 / M 1393 / L 594 / XL 243.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2026-09-29T20:26:41Z</dcterms:created>
  <dcterms:modified xsi:type="dcterms:W3CDTF">2026-09-29T20:26:41Z</dcterms:modified>
</cp:coreProperties>
</file>